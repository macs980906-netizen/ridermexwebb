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05389f309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8f6b057e08e4cf9"/>
    <x:sheet xmlns:r="http://schemas.openxmlformats.org/officeDocument/2006/relationships" name="FICHAS_TECNICAS" sheetId="2" r:id="R33a5959ffc884b7d"/>
    <x:sheet xmlns:r="http://schemas.openxmlformats.org/officeDocument/2006/relationships" name="GALERIA" sheetId="3" r:id="R34c2e11318054324"/>
    <x:sheet xmlns:r="http://schemas.openxmlformats.org/officeDocument/2006/relationships" name="CONTROL_FOTOS" sheetId="4" r:id="R48eb6ba93ef7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5151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333333"/>
      </x:patternFill>
    </x:fill>
    <x:fill>
      <x:patternFill patternType="solid">
        <x:fgColor rgb="FFB5121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c92444a7148a6" /><Relationship Type="http://schemas.openxmlformats.org/officeDocument/2006/relationships/theme" Target="/xl/theme/theme1.xml" Id="Rf8bcdd9fed564527" /><Relationship Type="http://schemas.openxmlformats.org/officeDocument/2006/relationships/sharedStrings" Target="/xl/sharedStrings.xml" Id="R06890c6b83d647ea" /><Relationship Type="http://schemas.openxmlformats.org/officeDocument/2006/relationships/worksheet" Target="/xl/worksheets/sheet1.xml" Id="Rf8f6b057e08e4cf9" /><Relationship Type="http://schemas.openxmlformats.org/officeDocument/2006/relationships/worksheet" Target="/xl/worksheets/sheet2.xml" Id="R33a5959ffc884b7d" /><Relationship Type="http://schemas.openxmlformats.org/officeDocument/2006/relationships/worksheet" Target="/xl/worksheets/sheet3.xml" Id="R34c2e11318054324" /><Relationship Type="http://schemas.openxmlformats.org/officeDocument/2006/relationships/worksheet" Target="/xl/worksheets/sheet4.xml" Id="R48eb6ba93ef748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34" t="str">
        <x:v>CATÁLOGO ZMOTO — FICHAS TÉCNICAS Y FOTOGRAFÍAS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28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 ht="22" customHeight="1">
      <x:c r="A4" s="36" t="str">
        <x:v>Preparado para RiderMex • 17 modelos • 4 fotografías por modelo</x:v>
      </x:c>
      <x:c r="B4" s="36"/>
      <x:c r="C4" s="36"/>
      <x:c r="D4" s="36"/>
      <x:c r="E4" s="36"/>
      <x:c r="F4" s="36"/>
      <x:c r="G4" s="36"/>
      <x:c r="H4" s="36"/>
      <x:c r="I4" s="36"/>
      <x:c r="J4" s="36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</x:row>
    <x:row r="6">
      <x:c r="A6" s="22" t="str">
        <x:v>RESUMEN</x:v>
      </x:c>
      <x:c r="B6" s="22" t="str">
        <x:v>VALOR</x:v>
      </x:c>
      <x:c r="C6" s="35"/>
      <x:c r="D6" s="22" t="str">
        <x:v>CÓMO USAR ESTE ARCHIVO</x:v>
      </x:c>
      <x:c r="E6" s="22"/>
      <x:c r="F6" s="22"/>
      <x:c r="G6" s="22"/>
      <x:c r="H6" s="22"/>
      <x:c r="I6" s="22"/>
      <x:c r="J6" s="22"/>
    </x:row>
    <x:row r="7" ht="25" customHeight="1">
      <x:c r="A7" s="30" t="str">
        <x:v>Modelos</x:v>
      </x:c>
      <x:c r="B7" s="30" t="n">
        <x:v>17</x:v>
      </x:c>
      <x:c r="C7" s="35"/>
      <x:c r="D7" s="30" t="str">
        <x:v>1. FICHAS_TECNICAS contiene los datos comparables, alertas y fuentes.
2. GALERIA muestra cuatro fotografías por modelo mediante la función IMAGE de Excel 365/Excel web.
3. CONTROL_FOTOS incluye cada enlace directo en alta resolución y el ángulo revisado.
4. Los modelos con datos contradictorios están señalados como REVISAR antes de publicar.</x:v>
      </x:c>
      <x:c r="E7" s="30"/>
      <x:c r="F7" s="30"/>
      <x:c r="G7" s="30"/>
      <x:c r="H7" s="30"/>
      <x:c r="I7" s="30"/>
      <x:c r="J7" s="30"/>
    </x:row>
    <x:row r="8" ht="25" customHeight="1">
      <x:c r="A8" s="30" t="str">
        <x:v>Fotografías</x:v>
      </x:c>
      <x:c r="B8" s="30" t="n">
        <x:v>68</x:v>
      </x:c>
      <x:c r="C8" s="35"/>
      <x:c r="D8" s="30"/>
      <x:c r="E8" s="30"/>
      <x:c r="F8" s="30"/>
      <x:c r="G8" s="30"/>
      <x:c r="H8" s="30"/>
      <x:c r="I8" s="30"/>
      <x:c r="J8" s="30"/>
    </x:row>
    <x:row r="9" ht="25" customHeight="1">
      <x:c r="A9" s="30" t="str">
        <x:v>Marca</x:v>
      </x:c>
      <x:c r="B9" s="30" t="str">
        <x:v>ZMOTO</x:v>
      </x:c>
      <x:c r="C9" s="35"/>
      <x:c r="D9" s="30"/>
      <x:c r="E9" s="30"/>
      <x:c r="F9" s="30"/>
      <x:c r="G9" s="30"/>
      <x:c r="H9" s="30"/>
      <x:c r="I9" s="30"/>
      <x:c r="J9" s="30"/>
    </x:row>
    <x:row r="10" ht="25" customHeight="1">
      <x:c r="A10" s="30" t="str">
        <x:v>Criterio</x:v>
      </x:c>
      <x:c r="B10" s="30" t="str">
        <x:v>Moto/vehículo completo y ángulos distintos</x:v>
      </x:c>
      <x:c r="C10" s="35"/>
      <x:c r="D10" s="30"/>
      <x:c r="E10" s="30"/>
      <x:c r="F10" s="30"/>
      <x:c r="G10" s="30"/>
      <x:c r="H10" s="30"/>
      <x:c r="I10" s="30"/>
      <x:c r="J10" s="30"/>
    </x:row>
    <x:row r="11" ht="25" customHeight="1">
      <x:c r="A11" s="35"/>
      <x:c r="B11" s="35"/>
      <x:c r="C11" s="35"/>
      <x:c r="D11" s="30"/>
      <x:c r="E11" s="30"/>
      <x:c r="F11" s="30"/>
      <x:c r="G11" s="30"/>
      <x:c r="H11" s="30"/>
      <x:c r="I11" s="30"/>
      <x:c r="J11" s="30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</x:row>
  </x:sheetData>
  <x:mergeCells>
    <x:mergeCell ref="A1:J2"/>
    <x:mergeCell ref="A4:J4"/>
    <x:mergeCell ref="D6:J6"/>
    <x:mergeCell ref="D7:J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" hidden="0" customWidth="1"/>
    <x:col min="3" max="3" width="20" hidden="0" customWidth="1"/>
    <x:col min="4" max="4" width="22" hidden="0" customWidth="1"/>
    <x:col min="5" max="5" width="13" hidden="0" customWidth="1"/>
    <x:col min="6" max="6" width="24" hidden="0" customWidth="1"/>
    <x:col min="7" max="7" width="21" hidden="0" customWidth="1"/>
    <x:col min="8" max="8" width="15" hidden="0" customWidth="1"/>
    <x:col min="9" max="9" width="23" hidden="0" customWidth="1"/>
    <x:col min="10" max="10" width="15" hidden="0" customWidth="1"/>
    <x:col min="11" max="11" width="24" hidden="0" customWidth="1"/>
    <x:col min="12" max="12" width="21" hidden="0" customWidth="1"/>
    <x:col min="13" max="13" width="25" hidden="0" customWidth="1"/>
    <x:col min="14" max="14" width="24" hidden="0" customWidth="1"/>
    <x:col min="15" max="15" width="24" hidden="0" customWidth="1"/>
    <x:col min="16" max="16" width="19" hidden="0" customWidth="1"/>
    <x:col min="17" max="17" width="48" hidden="0" customWidth="1"/>
    <x:col min="18" max="18" width="52" hidden="0" customWidth="1"/>
    <x:col min="19" max="19" width="52" hidden="0" customWidth="1"/>
  </x:cols>
  <x:sheetData>
    <x:row r="1" ht="34" customHeight="1">
      <x:c r="A1" s="22" t="str">
        <x:v>No.</x:v>
      </x:c>
      <x:c r="B1" s="22" t="str">
        <x:v>Marca</x:v>
      </x:c>
      <x:c r="C1" s="22" t="str">
        <x:v>Modelo</x:v>
      </x:c>
      <x:c r="D1" s="22" t="str">
        <x:v>Tipo</x:v>
      </x:c>
      <x:c r="E1" s="22" t="str">
        <x:v>Cilindrada</x:v>
      </x:c>
      <x:c r="F1" s="22" t="str">
        <x:v>Potencia</x:v>
      </x:c>
      <x:c r="G1" s="22" t="str">
        <x:v>Torque</x:v>
      </x:c>
      <x:c r="H1" s="22" t="str">
        <x:v>Refrigeración</x:v>
      </x:c>
      <x:c r="I1" s="22" t="str">
        <x:v>Transmisión</x:v>
      </x:c>
      <x:c r="J1" s="22" t="str">
        <x:v>Velocidad máx.</x:v>
      </x:c>
      <x:c r="K1" s="22" t="str">
        <x:v>Frenos</x:v>
      </x:c>
      <x:c r="L1" s="22" t="str">
        <x:v>Llantas</x:v>
      </x:c>
      <x:c r="M1" s="22" t="str">
        <x:v>Capacidad / carga</x:v>
      </x:c>
      <x:c r="N1" s="22" t="str">
        <x:v>Dimensiones</x:v>
      </x:c>
      <x:c r="O1" s="22" t="str">
        <x:v>Tablero / encendido</x:v>
      </x:c>
      <x:c r="P1" s="22" t="str">
        <x:v>Estatus</x:v>
      </x:c>
      <x:c r="Q1" s="22" t="str">
        <x:v>Observación de control</x:v>
      </x:c>
      <x:c r="R1" s="22" t="str">
        <x:v>Fuente técnica</x:v>
      </x:c>
      <x:c r="S1" s="22" t="str">
        <x:v>Fuente fotografías</x:v>
      </x:c>
    </x:row>
    <x:row r="2" ht="44" customHeight="1">
      <x:c r="A2" s="41" t="n">
        <x:v>1</x:v>
      </x:c>
      <x:c r="B2" s="41" t="str">
        <x:v>ZMOTO</x:v>
      </x:c>
      <x:c r="C2" s="30" t="str">
        <x:v>Runga Pasajeros</x:v>
      </x:c>
      <x:c r="D2" s="30" t="str">
        <x:v>Motocarro de pasajeros</x:v>
      </x:c>
      <x:c r="E2" s="30" t="str">
        <x:v>250 cc</x:v>
      </x:c>
      <x:c r="F2" s="30" t="str">
        <x:v>17.8 kW @ 8,500 rpm (revisar unidad)</x:v>
      </x:c>
      <x:c r="G2" s="30" t="str">
        <x:v>17.5 Nm @ 5,500 rpm</x:v>
      </x:c>
      <x:c r="H2" s="30" t="str">
        <x:v>Líquida</x:v>
      </x:c>
      <x:c r="I2" s="30" t="str">
        <x:v>5 velocidades + reversa</x:v>
      </x:c>
      <x:c r="J2" s="30" t="str">
        <x:v>60 km/h</x:v>
      </x:c>
      <x:c r="K2" s="30" t="str">
        <x:v>Tambor hidráulico D/T</x:v>
      </x:c>
      <x:c r="L2" s="30" t="str">
        <x:v>4.50-12 / 4.50-12</x:v>
      </x:c>
      <x:c r="M2" s="30" t="str">
        <x:v>9 pasajeros</x:v>
      </x:c>
      <x:c r="N2" s="30" t="str">
        <x:v>3500 × 1250 × 1850 mm</x:v>
      </x:c>
      <x:c r="O2" s="30" t="str">
        <x:v>Digital; eléctrico y patada</x:v>
      </x:c>
      <x:c r="P2" s="41" t="str">
        <x:v>REVISAR POTENCIA</x:v>
      </x:c>
      <x:c r="Q2" s="30" t="str">
        <x:v>El sitio oficial publica 17.8 kW; confirmar si corresponde a HP antes de subir la ficha.</x:v>
      </x:c>
      <x:c r="R2" s="30" t="str">
        <x:v>https://www.zmoto.com.mx/shop/zmoto-runga250p-23</x:v>
      </x:c>
      <x:c r="S2" s="30" t="str">
        <x:v>https://www.zmoto.com.mx/shop/zmoto-runga250p-23</x:v>
      </x:c>
    </x:row>
    <x:row r="3" ht="44" customHeight="1">
      <x:c r="A3" s="41" t="n">
        <x:v>2</x:v>
      </x:c>
      <x:c r="B3" s="41" t="str">
        <x:v>ZMOTO</x:v>
      </x:c>
      <x:c r="C3" s="30" t="str">
        <x:v>Runga 320Z</x:v>
      </x:c>
      <x:c r="D3" s="30" t="str">
        <x:v>Motocarro de carga</x:v>
      </x:c>
      <x:c r="E3" s="30" t="str">
        <x:v>320 cc</x:v>
      </x:c>
      <x:c r="F3" s="30" t="str">
        <x:v>12.5 kW @ 7,000 rpm</x:v>
      </x:c>
      <x:c r="G3" s="30" t="str">
        <x:v>22.3 Nm @ 4,500 rpm</x:v>
      </x:c>
      <x:c r="H3" s="30" t="str">
        <x:v>Líquida</x:v>
      </x:c>
      <x:c r="I3" s="30" t="str">
        <x:v>5 velocidades + reversa</x:v>
      </x:c>
      <x:c r="J3" s="30" t="str">
        <x:v>N/D</x:v>
      </x:c>
      <x:c r="K3" s="30" t="str">
        <x:v>Tambor hidráulico D/T</x:v>
      </x:c>
      <x:c r="L3" s="30" t="str">
        <x:v>5.00-12 / 5.00-12</x:v>
      </x:c>
      <x:c r="M3" s="30" t="str">
        <x:v>1,000 kg</x:v>
      </x:c>
      <x:c r="N3" s="30" t="str">
        <x:v>3500 × 1480 × 1850 mm</x:v>
      </x:c>
      <x:c r="O3" s="30" t="str">
        <x:v>Digital; eléctrico y patada</x:v>
      </x:c>
      <x:c r="P3" s="41" t="str">
        <x:v>APROBADA</x:v>
      </x:c>
      <x:c r="Q3" s="30" t="str">
        <x:v>La galería combina la versión abierta y una configuración con cabina; revisar cuál se comercializará.</x:v>
      </x:c>
      <x:c r="R3" s="30" t="str">
        <x:v>https://www.zmoto.com.mx/shop/zmoto-runga320z-22</x:v>
      </x:c>
      <x:c r="S3" s="30" t="str">
        <x:v>https://www.galgo.com/mx/motos/MX1327-zmoto-runga-320z</x:v>
      </x:c>
    </x:row>
    <x:row r="4" ht="44" customHeight="1">
      <x:c r="A4" s="41" t="n">
        <x:v>3</x:v>
      </x:c>
      <x:c r="B4" s="41" t="str">
        <x:v>ZMOTO</x:v>
      </x:c>
      <x:c r="C4" s="30" t="str">
        <x:v>Runga 250Z</x:v>
      </x:c>
      <x:c r="D4" s="30" t="str">
        <x:v>Motocarro con cabina</x:v>
      </x:c>
      <x:c r="E4" s="30" t="str">
        <x:v>250 cc</x:v>
      </x:c>
      <x:c r="F4" s="30" t="str">
        <x:v>17.5 hp @ 7,000 rpm</x:v>
      </x:c>
      <x:c r="G4" s="30" t="str">
        <x:v>17.5 Nm @ 5,500 rpm</x:v>
      </x:c>
      <x:c r="H4" s="30" t="str">
        <x:v>Líquida</x:v>
      </x:c>
      <x:c r="I4" s="30" t="str">
        <x:v>5 velocidades + reversa</x:v>
      </x:c>
      <x:c r="J4" s="30" t="str">
        <x:v>60 km/h</x:v>
      </x:c>
      <x:c r="K4" s="30" t="str">
        <x:v>Tambor hidráulico D/T</x:v>
      </x:c>
      <x:c r="L4" s="30" t="str">
        <x:v>4.50-12 / 4.50-12</x:v>
      </x:c>
      <x:c r="M4" s="30" t="str">
        <x:v>800 kg</x:v>
      </x:c>
      <x:c r="N4" s="30" t="str">
        <x:v>Caja 1220 × 1830 mm</x:v>
      </x:c>
      <x:c r="O4" s="30" t="str">
        <x:v>Análogo; eléctrico y patada</x:v>
      </x:c>
      <x:c r="P4" s="41" t="str">
        <x:v>APROBADA CON NOTA</x:v>
      </x:c>
      <x:c r="Q4" s="30" t="str">
        <x:v>Galgo la presenta como “Runga 250 con Cabina”; se cruzó con la ficha oficial Runga 250Z.</x:v>
      </x:c>
      <x:c r="R4" s="30" t="str">
        <x:v>https://www.zmoto.com.mx/shop/runga-250z-25</x:v>
      </x:c>
      <x:c r="S4" s="30" t="str">
        <x:v>https://www.galgo.com/mx/motos/MX1329-zmoto-runga-250-con-cabina</x:v>
      </x:c>
    </x:row>
    <x:row r="5" ht="44" customHeight="1">
      <x:c r="A5" s="41" t="n">
        <x:v>4</x:v>
      </x:c>
      <x:c r="B5" s="41" t="str">
        <x:v>ZMOTO</x:v>
      </x:c>
      <x:c r="C5" s="30" t="str">
        <x:v>Runga 250</x:v>
      </x:c>
      <x:c r="D5" s="30" t="str">
        <x:v>Motocarro de carga</x:v>
      </x:c>
      <x:c r="E5" s="30" t="str">
        <x:v>250 cc</x:v>
      </x:c>
      <x:c r="F5" s="30" t="str">
        <x:v>17.5 hp @ 7,000 rpm</x:v>
      </x:c>
      <x:c r="G5" s="30" t="str">
        <x:v>17.5 Nm @ 5,500 rpm</x:v>
      </x:c>
      <x:c r="H5" s="30" t="str">
        <x:v>Líquida</x:v>
      </x:c>
      <x:c r="I5" s="30" t="str">
        <x:v>5 velocidades + reversa</x:v>
      </x:c>
      <x:c r="J5" s="30" t="str">
        <x:v>55 km/h</x:v>
      </x:c>
      <x:c r="K5" s="30" t="str">
        <x:v>Tambor hidráulico D/T</x:v>
      </x:c>
      <x:c r="L5" s="30" t="str">
        <x:v>4.50-12 / 4.50-12</x:v>
      </x:c>
      <x:c r="M5" s="30" t="str">
        <x:v>800 kg</x:v>
      </x:c>
      <x:c r="N5" s="30" t="str">
        <x:v>Caja 1220 × 1830 mm</x:v>
      </x:c>
      <x:c r="O5" s="30" t="str">
        <x:v>Análogo; eléctrico y patada</x:v>
      </x:c>
      <x:c r="P5" s="41" t="str">
        <x:v>APROBADA</x:v>
      </x:c>
      <x:c r="Q5" s="30" t="str">
        <x:v>Se utilizaron fotografías oficiales de vista frontal y laterales, además de una toma principal.</x:v>
      </x:c>
      <x:c r="R5" s="30" t="str">
        <x:v>https://www.zmoto.com.mx/shop/zmoto-runga250-24</x:v>
      </x:c>
      <x:c r="S5" s="30" t="str">
        <x:v>https://www.zmoto.com.mx/shop/zmoto-runga250-24</x:v>
      </x:c>
    </x:row>
    <x:row r="6" ht="44" customHeight="1">
      <x:c r="A6" s="41" t="n">
        <x:v>5</x:v>
      </x:c>
      <x:c r="B6" s="41" t="str">
        <x:v>ZMOTO</x:v>
      </x:c>
      <x:c r="C6" s="30" t="str">
        <x:v>Zmax Plus</x:v>
      </x:c>
      <x:c r="D6" s="30" t="str">
        <x:v>Motocarro compacto de carga</x:v>
      </x:c>
      <x:c r="E6" s="30" t="str">
        <x:v>200 cc</x:v>
      </x:c>
      <x:c r="F6" s="30" t="str">
        <x:v>12 hp (referencia oficial ZMAX200)</x:v>
      </x:c>
      <x:c r="G6" s="30" t="str">
        <x:v>N/D</x:v>
      </x:c>
      <x:c r="H6" s="30" t="str">
        <x:v>Aire</x:v>
      </x:c>
      <x:c r="I6" s="30" t="str">
        <x:v>5 velocidades + reversa</x:v>
      </x:c>
      <x:c r="J6" s="30" t="str">
        <x:v>N/D</x:v>
      </x:c>
      <x:c r="K6" s="30" t="str">
        <x:v>N/D</x:v>
      </x:c>
      <x:c r="L6" s="30" t="str">
        <x:v>N/D</x:v>
      </x:c>
      <x:c r="M6" s="30" t="str">
        <x:v>500 kg</x:v>
      </x:c>
      <x:c r="N6" s="30" t="str">
        <x:v>N/D</x:v>
      </x:c>
      <x:c r="O6" s="30" t="str">
        <x:v>Encendido eléctrico</x:v>
      </x:c>
      <x:c r="P6" s="41" t="str">
        <x:v>REVISAR FICHA</x:v>
      </x:c>
      <x:c r="Q6" s="30" t="str">
        <x:v>La información pública mezcla datos de 200 y 250 cc. Confirmar ficha del año exacto antes de publicar.</x:v>
      </x:c>
      <x:c r="R6" s="30" t="str">
        <x:v>https://www.zmoto.com.mx/shop/zmoto-zmax200plus-29</x:v>
      </x:c>
      <x:c r="S6" s="30" t="str">
        <x:v>https://www.galgo.com/mx/motos/MX1330-zmoto-zmax-200-plus</x:v>
      </x:c>
    </x:row>
    <x:row r="7" ht="44" customHeight="1">
      <x:c r="A7" s="41" t="n">
        <x:v>6</x:v>
      </x:c>
      <x:c r="B7" s="41" t="str">
        <x:v>ZMOTO</x:v>
      </x:c>
      <x:c r="C7" s="30" t="str">
        <x:v>Zmax 200</x:v>
      </x:c>
      <x:c r="D7" s="30" t="str">
        <x:v>Motocarro compacto de carga</x:v>
      </x:c>
      <x:c r="E7" s="30" t="str">
        <x:v>200 cc</x:v>
      </x:c>
      <x:c r="F7" s="30" t="str">
        <x:v>12 hp @ 7,000 rpm</x:v>
      </x:c>
      <x:c r="G7" s="30" t="str">
        <x:v>N/D</x:v>
      </x:c>
      <x:c r="H7" s="30" t="str">
        <x:v>Aire</x:v>
      </x:c>
      <x:c r="I7" s="30" t="str">
        <x:v>5 velocidades + reversa</x:v>
      </x:c>
      <x:c r="J7" s="30" t="str">
        <x:v>N/D</x:v>
      </x:c>
      <x:c r="K7" s="30" t="str">
        <x:v>N/D</x:v>
      </x:c>
      <x:c r="L7" s="30" t="str">
        <x:v>N/D</x:v>
      </x:c>
      <x:c r="M7" s="30" t="str">
        <x:v>500 kg</x:v>
      </x:c>
      <x:c r="N7" s="30" t="str">
        <x:v>N/D</x:v>
      </x:c>
      <x:c r="O7" s="30" t="str">
        <x:v>Encendido eléctrico</x:v>
      </x:c>
      <x:c r="P7" s="41" t="str">
        <x:v>APROBADA CON NOTA</x:v>
      </x:c>
      <x:c r="Q7" s="30" t="str">
        <x:v>La ficha de Galgo contiene datos que no corresponden al motocarro; se priorizó la descripción oficial de ZMoto.</x:v>
      </x:c>
      <x:c r="R7" s="30" t="str">
        <x:v>https://www.zmoto.com.mx/shop/zmoto-zmax200-28</x:v>
      </x:c>
      <x:c r="S7" s="30" t="str">
        <x:v>https://www.galgo.com/mx/motos/MX915-zmoto-zmax-200</x:v>
      </x:c>
    </x:row>
    <x:row r="8" ht="44" customHeight="1">
      <x:c r="A8" s="41" t="n">
        <x:v>7</x:v>
      </x:c>
      <x:c r="B8" s="41" t="str">
        <x:v>ZMOTO</x:v>
      </x:c>
      <x:c r="C8" s="30" t="str">
        <x:v>Carguero 320</x:v>
      </x:c>
      <x:c r="D8" s="30" t="str">
        <x:v>Motocarro con caja hidráulica</x:v>
      </x:c>
      <x:c r="E8" s="30" t="str">
        <x:v>300–320 cc</x:v>
      </x:c>
      <x:c r="F8" s="30" t="str">
        <x:v>12.5 kW @ 6,000 rpm</x:v>
      </x:c>
      <x:c r="G8" s="30" t="str">
        <x:v>22.3 Nm (Galgo)</x:v>
      </x:c>
      <x:c r="H8" s="30" t="str">
        <x:v>N/D</x:v>
      </x:c>
      <x:c r="I8" s="30" t="str">
        <x:v>5 velocidades + reversa</x:v>
      </x:c>
      <x:c r="J8" s="30" t="str">
        <x:v>N/D</x:v>
      </x:c>
      <x:c r="K8" s="30" t="str">
        <x:v>Tambor hidráulico D/T</x:v>
      </x:c>
      <x:c r="L8" s="30" t="str">
        <x:v>5.00-12 / 5.00-12</x:v>
      </x:c>
      <x:c r="M8" s="30" t="str">
        <x:v>Carga pesada; caja basculante hidráulica</x:v>
      </x:c>
      <x:c r="N8" s="30" t="str">
        <x:v>N/D</x:v>
      </x:c>
      <x:c r="O8" s="30" t="str">
        <x:v>Digital + Bluetooth</x:v>
      </x:c>
      <x:c r="P8" s="41" t="str">
        <x:v>REVISAR CILINDRADA</x:v>
      </x:c>
      <x:c r="Q8" s="30" t="str">
        <x:v>ZMoto describe motor de 300 cc; el nombre comercial y Galgo indican 320 cc.</x:v>
      </x:c>
      <x:c r="R8" s="30" t="str">
        <x:v>https://www.zmoto.com.mx/shop/zmoto-carguero-runga320z-26310</x:v>
      </x:c>
      <x:c r="S8" s="30" t="str">
        <x:v>https://www.galgo.com/mx/motos/MX2989-zmoto-runga-320-carguero</x:v>
      </x:c>
    </x:row>
    <x:row r="9" ht="44" customHeight="1">
      <x:c r="A9" s="41" t="n">
        <x:v>8</x:v>
      </x:c>
      <x:c r="B9" s="41" t="str">
        <x:v>ZMOTO</x:v>
      </x:c>
      <x:c r="C9" s="30" t="str">
        <x:v>SX6 250</x:v>
      </x:c>
      <x:c r="D9" s="30" t="str">
        <x:v>Doble propósito</x:v>
      </x:c>
      <x:c r="E9" s="30" t="str">
        <x:v>250 cc</x:v>
      </x:c>
      <x:c r="F9" s="30" t="str">
        <x:v>17.8 hp @ 8,500 rpm</x:v>
      </x:c>
      <x:c r="G9" s="30" t="str">
        <x:v>14 Nm @ 7,500 rpm</x:v>
      </x:c>
      <x:c r="H9" s="30" t="str">
        <x:v>Aceite</x:v>
      </x:c>
      <x:c r="I9" s="30" t="str">
        <x:v>5 velocidades</x:v>
      </x:c>
      <x:c r="J9" s="30" t="str">
        <x:v>97.8 km/h</x:v>
      </x:c>
      <x:c r="K9" s="30" t="str">
        <x:v>Disco D/T</x:v>
      </x:c>
      <x:c r="L9" s="30" t="str">
        <x:v>Todo terreno</x:v>
      </x:c>
      <x:c r="M9" s="30" t="str">
        <x:v>150 kg</x:v>
      </x:c>
      <x:c r="N9" s="30" t="str">
        <x:v>N/D</x:v>
      </x:c>
      <x:c r="O9" s="30" t="str">
        <x:v>N/D; eléctrico y patada</x:v>
      </x:c>
      <x:c r="P9" s="41" t="str">
        <x:v>APROBADA</x:v>
      </x:c>
      <x:c r="Q9" s="30" t="str">
        <x:v>Se eligieron vista lateral, frontal y dos imágenes de uso real para evitar recortes repetidos.</x:v>
      </x:c>
      <x:c r="R9" s="30" t="str">
        <x:v>https://www.zmoto.com.mx/shop/zmoto-sx6250-26</x:v>
      </x:c>
      <x:c r="S9" s="30" t="str">
        <x:v>https://www.galgo.com/mx/motos/MX917-zmoto-sx6-250</x:v>
      </x:c>
    </x:row>
    <x:row r="10" ht="44" customHeight="1">
      <x:c r="A10" s="41" t="n">
        <x:v>9</x:v>
      </x:c>
      <x:c r="B10" s="41" t="str">
        <x:v>ZMOTO</x:v>
      </x:c>
      <x:c r="C10" s="30" t="str">
        <x:v>Nitro 150</x:v>
      </x:c>
      <x:c r="D10" s="30" t="str">
        <x:v>Street utilitaria</x:v>
      </x:c>
      <x:c r="E10" s="30" t="str">
        <x:v>150 cc</x:v>
      </x:c>
      <x:c r="F10" s="30" t="str">
        <x:v>12.07 hp @ 8,500 rpm</x:v>
      </x:c>
      <x:c r="G10" s="30" t="str">
        <x:v>11 Nm @ 7,500 rpm</x:v>
      </x:c>
      <x:c r="H10" s="30" t="str">
        <x:v>Aire</x:v>
      </x:c>
      <x:c r="I10" s="30" t="str">
        <x:v>5 velocidades</x:v>
      </x:c>
      <x:c r="J10" s="30" t="str">
        <x:v>95 km/h</x:v>
      </x:c>
      <x:c r="K10" s="30" t="str">
        <x:v>Disco / tambor</x:v>
      </x:c>
      <x:c r="L10" s="30" t="str">
        <x:v>2.75-18 / 3.25-18</x:v>
      </x:c>
      <x:c r="M10" s="30" t="str">
        <x:v>150 kg</x:v>
      </x:c>
      <x:c r="N10" s="30" t="str">
        <x:v>2000 × 750 × 1100 mm</x:v>
      </x:c>
      <x:c r="O10" s="30" t="str">
        <x:v>Digital; eléctrico y patada</x:v>
      </x:c>
      <x:c r="P10" s="41" t="str">
        <x:v>APROBADA CON NOTA</x:v>
      </x:c>
      <x:c r="Q10" s="30" t="str">
        <x:v>La capacidad de tanque aparece como 14 L en ZMoto y 12 L en Galgo; confirmar año exacto.</x:v>
      </x:c>
      <x:c r="R10" s="30" t="str">
        <x:v>https://www.zmoto.com.mx/shop/zmoto-nitro150r-21</x:v>
      </x:c>
      <x:c r="S10" s="30" t="str">
        <x:v>https://www.galgo.com/mx/motos/MX2610-zmoto-nitro-150</x:v>
      </x:c>
    </x:row>
    <x:row r="11" ht="44" customHeight="1">
      <x:c r="A11" s="41" t="n">
        <x:v>10</x:v>
      </x:c>
      <x:c r="B11" s="41" t="str">
        <x:v>ZMOTO</x:v>
      </x:c>
      <x:c r="C11" s="30" t="str">
        <x:v>ZM 150</x:v>
      </x:c>
      <x:c r="D11" s="30" t="str">
        <x:v>Scooter</x:v>
      </x:c>
      <x:c r="E11" s="30" t="str">
        <x:v>150 cc</x:v>
      </x:c>
      <x:c r="F11" s="30" t="str">
        <x:v>8.3 hp @ 8,500 rpm</x:v>
      </x:c>
      <x:c r="G11" s="30" t="str">
        <x:v>8.8 Nm @ 7,500 rpm</x:v>
      </x:c>
      <x:c r="H11" s="30" t="str">
        <x:v>Aire</x:v>
      </x:c>
      <x:c r="I11" s="30" t="str">
        <x:v>Automática</x:v>
      </x:c>
      <x:c r="J11" s="30" t="str">
        <x:v>70 km/h</x:v>
      </x:c>
      <x:c r="K11" s="30" t="str">
        <x:v>Disco / tambor hidráulico</x:v>
      </x:c>
      <x:c r="L11" s="30" t="str">
        <x:v>3.50-10 / 3.50-10</x:v>
      </x:c>
      <x:c r="M11" s="30" t="str">
        <x:v>150 kg</x:v>
      </x:c>
      <x:c r="N11" s="30" t="str">
        <x:v>1820 × 655 × 1115 mm</x:v>
      </x:c>
      <x:c r="O11" s="30" t="str">
        <x:v>Análogo; eléctrico y patada</x:v>
      </x:c>
      <x:c r="P11" s="41" t="str">
        <x:v>APROBADA</x:v>
      </x:c>
      <x:c r="Q11" s="30" t="str">
        <x:v>Fotografías completas tomadas de Zoom Motos, con vista frontal 3/4, lateral y ángulo opuesto.</x:v>
      </x:c>
      <x:c r="R11" s="30" t="str">
        <x:v>https://www.zmoto.com.mx/shop/zm-150-27</x:v>
      </x:c>
      <x:c r="S11" s="30" t="str">
        <x:v>https://zoommotos.mx/products/zmoto-zm150-azul</x:v>
      </x:c>
    </x:row>
    <x:row r="12" ht="44" customHeight="1">
      <x:c r="A12" s="41" t="n">
        <x:v>11</x:v>
      </x:c>
      <x:c r="B12" s="41" t="str">
        <x:v>ZMOTO</x:v>
      </x:c>
      <x:c r="C12" s="30" t="str">
        <x:v>CRX 150</x:v>
      </x:c>
      <x:c r="D12" s="30" t="str">
        <x:v>Street</x:v>
      </x:c>
      <x:c r="E12" s="30" t="str">
        <x:v>150 cc</x:v>
      </x:c>
      <x:c r="F12" s="30" t="str">
        <x:v>14.4 hp @ 8,500 rpm</x:v>
      </x:c>
      <x:c r="G12" s="30" t="str">
        <x:v>13 Nm @ 7,500 rpm</x:v>
      </x:c>
      <x:c r="H12" s="30" t="str">
        <x:v>Aire</x:v>
      </x:c>
      <x:c r="I12" s="30" t="str">
        <x:v>5 velocidades</x:v>
      </x:c>
      <x:c r="J12" s="30" t="str">
        <x:v>80 km/h</x:v>
      </x:c>
      <x:c r="K12" s="30" t="str">
        <x:v>Disco / tambor</x:v>
      </x:c>
      <x:c r="L12" s="30" t="str">
        <x:v>80/90-17 / 110/80-17</x:v>
      </x:c>
      <x:c r="M12" s="30" t="str">
        <x:v>150 kg</x:v>
      </x:c>
      <x:c r="N12" s="30" t="str">
        <x:v>N/D</x:v>
      </x:c>
      <x:c r="O12" s="30" t="str">
        <x:v>Análogo; eléctrico y patada</x:v>
      </x:c>
      <x:c r="P12" s="41" t="str">
        <x:v>APROBADA CON NOTA</x:v>
      </x:c>
      <x:c r="Q12" s="30" t="str">
        <x:v>Se consiguieron tres vistas completas y una imagen lateral parcial; es el único modelo con galería pública limitada.</x:v>
      </x:c>
      <x:c r="R12" s="30" t="str">
        <x:v>https://www.zmoto.com.mx/shop/zmoto-crx150-18</x:v>
      </x:c>
      <x:c r="S12" s="30" t="str">
        <x:v>https://www.galgo.com/mx/motos/MX1331-zmoto-crx-150</x:v>
      </x:c>
    </x:row>
    <x:row r="13" ht="44" customHeight="1">
      <x:c r="A13" s="41" t="n">
        <x:v>12</x:v>
      </x:c>
      <x:c r="B13" s="41" t="str">
        <x:v>ZMOTO</x:v>
      </x:c>
      <x:c r="C13" s="30" t="str">
        <x:v>Maxx 125</x:v>
      </x:c>
      <x:c r="D13" s="30" t="str">
        <x:v>Semiautomática urbana</x:v>
      </x:c>
      <x:c r="E13" s="30" t="str">
        <x:v>125 cc</x:v>
      </x:c>
      <x:c r="F13" s="30" t="str">
        <x:v>7.25 kW @ 8,500 rpm (revisar unidad)</x:v>
      </x:c>
      <x:c r="G13" s="30" t="str">
        <x:v>9.23 Nm @ 6,500 rpm</x:v>
      </x:c>
      <x:c r="H13" s="30" t="str">
        <x:v>Aire</x:v>
      </x:c>
      <x:c r="I13" s="30" t="str">
        <x:v>Semiautomática</x:v>
      </x:c>
      <x:c r="J13" s="30" t="str">
        <x:v>85 km/h</x:v>
      </x:c>
      <x:c r="K13" s="30" t="str">
        <x:v>Disco / tambor</x:v>
      </x:c>
      <x:c r="L13" s="30" t="str">
        <x:v>2.50-17 / 2.75-17</x:v>
      </x:c>
      <x:c r="M13" s="30" t="str">
        <x:v>150 kg recomendado; sitio oficial muestra 246 kg</x:v>
      </x:c>
      <x:c r="N13" s="30" t="str">
        <x:v>1930 × 690 × 1100 mm</x:v>
      </x:c>
      <x:c r="O13" s="30" t="str">
        <x:v>Análogo; eléctrico y patada</x:v>
      </x:c>
      <x:c r="P13" s="41" t="str">
        <x:v>REVISAR POTENCIA/CARGA</x:v>
      </x:c>
      <x:c r="Q13" s="30" t="str">
        <x:v>El sitio oficial muestra potencia en kW y carga de 246 kg; validar ambos datos con ZMoto.</x:v>
      </x:c>
      <x:c r="R13" s="30" t="str">
        <x:v>https://www.zmoto.com.mx/shop/zmoto-maxx125-20</x:v>
      </x:c>
      <x:c r="S13" s="30" t="str">
        <x:v>https://www.galgo.com/mx/motos/MX1332-zmoto-maxx-125-2023</x:v>
      </x:c>
    </x:row>
    <x:row r="14" ht="44" customHeight="1">
      <x:c r="A14" s="41" t="n">
        <x:v>13</x:v>
      </x:c>
      <x:c r="B14" s="41" t="str">
        <x:v>ZMOTO</x:v>
      </x:c>
      <x:c r="C14" s="30" t="str">
        <x:v>CRX 300</x:v>
      </x:c>
      <x:c r="D14" s="30" t="str">
        <x:v>Street deportiva</x:v>
      </x:c>
      <x:c r="E14" s="30" t="str">
        <x:v>300 cc</x:v>
      </x:c>
      <x:c r="F14" s="30" t="str">
        <x:v>15 kW @ 8,500 rpm</x:v>
      </x:c>
      <x:c r="G14" s="30" t="str">
        <x:v>21 Nm @ 6,500 rpm</x:v>
      </x:c>
      <x:c r="H14" s="30" t="str">
        <x:v>Aceite</x:v>
      </x:c>
      <x:c r="I14" s="30" t="str">
        <x:v>6 velocidades</x:v>
      </x:c>
      <x:c r="J14" s="30" t="str">
        <x:v>90 km/h (oficial)</x:v>
      </x:c>
      <x:c r="K14" s="30" t="str">
        <x:v>Disco / disco</x:v>
      </x:c>
      <x:c r="L14" s="30" t="str">
        <x:v>110/70-17 / 140/70-17</x:v>
      </x:c>
      <x:c r="M14" s="30" t="str">
        <x:v>150 kg</x:v>
      </x:c>
      <x:c r="N14" s="30" t="str">
        <x:v>N/D</x:v>
      </x:c>
      <x:c r="O14" s="30" t="str">
        <x:v>Digital, Full LED; encendido eléctrico</x:v>
      </x:c>
      <x:c r="P14" s="41" t="str">
        <x:v>APROBADA CON NOTA</x:v>
      </x:c>
      <x:c r="Q14" s="30" t="str">
        <x:v>Galgo menciona hasta 130 km/h; se conservó la velocidad máxima publicada por ZMoto.</x:v>
      </x:c>
      <x:c r="R14" s="30" t="str">
        <x:v>https://www.zmoto.com.mx/shop/zmoto-crx300-26309</x:v>
      </x:c>
      <x:c r="S14" s="30" t="str">
        <x:v>https://www.galgo.com/mx/motos/MX2608-zmoto-crx-300</x:v>
      </x:c>
    </x:row>
    <x:row r="15" ht="44" customHeight="1">
      <x:c r="A15" s="41" t="n">
        <x:v>14</x:v>
      </x:c>
      <x:c r="B15" s="41" t="str">
        <x:v>ZMOTO</x:v>
      </x:c>
      <x:c r="C15" s="30" t="str">
        <x:v>CRX 200</x:v>
      </x:c>
      <x:c r="D15" s="30" t="str">
        <x:v>Street</x:v>
      </x:c>
      <x:c r="E15" s="30" t="str">
        <x:v>200 cc</x:v>
      </x:c>
      <x:c r="F15" s="30" t="str">
        <x:v>15.8 hp @ 8,000 rpm</x:v>
      </x:c>
      <x:c r="G15" s="30" t="str">
        <x:v>15.5 Nm @ 6,000 rpm</x:v>
      </x:c>
      <x:c r="H15" s="30" t="str">
        <x:v>Aire</x:v>
      </x:c>
      <x:c r="I15" s="30" t="str">
        <x:v>5 velocidades</x:v>
      </x:c>
      <x:c r="J15" s="30" t="str">
        <x:v>80 km/h</x:v>
      </x:c>
      <x:c r="K15" s="30" t="str">
        <x:v>Disco / disco</x:v>
      </x:c>
      <x:c r="L15" s="30" t="str">
        <x:v>80/90-17 / 130/70-17</x:v>
      </x:c>
      <x:c r="M15" s="30" t="str">
        <x:v>150 kg</x:v>
      </x:c>
      <x:c r="N15" s="30" t="str">
        <x:v>N/D</x:v>
      </x:c>
      <x:c r="O15" s="30" t="str">
        <x:v>Digital; eléctrico y patada</x:v>
      </x:c>
      <x:c r="P15" s="41" t="str">
        <x:v>APROBADA</x:v>
      </x:c>
      <x:c r="Q15" s="30" t="str">
        <x:v>Galería con cuatro motocicletas completas en colores y orientaciones distintas.</x:v>
      </x:c>
      <x:c r="R15" s="30" t="str">
        <x:v>https://www.zmoto.com.mx/shop/zmoto-crx200-5230</x:v>
      </x:c>
      <x:c r="S15" s="30" t="str">
        <x:v>https://www.galgo.com/mx/motos/MX2609-zmoto-crx-200</x:v>
      </x:c>
    </x:row>
    <x:row r="16" ht="44" customHeight="1">
      <x:c r="A16" s="41" t="n">
        <x:v>15</x:v>
      </x:c>
      <x:c r="B16" s="41" t="str">
        <x:v>ZMOTO</x:v>
      </x:c>
      <x:c r="C16" s="30" t="str">
        <x:v>300 Pro</x:v>
      </x:c>
      <x:c r="D16" s="30" t="str">
        <x:v>Doble propósito / enduro</x:v>
      </x:c>
      <x:c r="E16" s="30" t="str">
        <x:v>300 cc</x:v>
      </x:c>
      <x:c r="F16" s="30" t="str">
        <x:v>25 hp @ 8,000 rpm</x:v>
      </x:c>
      <x:c r="G16" s="30" t="str">
        <x:v>Dato oficial inconsistente</x:v>
      </x:c>
      <x:c r="H16" s="30" t="str">
        <x:v>Aceite</x:v>
      </x:c>
      <x:c r="I16" s="30" t="str">
        <x:v>5 velocidades + reversa (sitio oficial)</x:v>
      </x:c>
      <x:c r="J16" s="30" t="str">
        <x:v>85 km/h</x:v>
      </x:c>
      <x:c r="K16" s="30" t="str">
        <x:v>Disco / disco</x:v>
      </x:c>
      <x:c r="L16" s="30" t="str">
        <x:v>90/90-21 / 4.60-100 R18</x:v>
      </x:c>
      <x:c r="M16" s="30" t="str">
        <x:v>150 kg</x:v>
      </x:c>
      <x:c r="N16" s="30" t="str">
        <x:v>2080 × 1140 × 810 mm</x:v>
      </x:c>
      <x:c r="O16" s="30" t="str">
        <x:v>Digital, LED, USB; eléctrico y patada</x:v>
      </x:c>
      <x:c r="P16" s="41" t="str">
        <x:v>REVISAR TORQUE/TRANSMISIÓN</x:v>
      </x:c>
      <x:c r="Q16" s="30" t="str">
        <x:v>La página oficial etiqueta el torque como HP y señala reversa. Confirmar antes de publicar.</x:v>
      </x:c>
      <x:c r="R16" s="30" t="str">
        <x:v>https://www.zmoto.com.mx/shop/zmoto-300pro-sport-16</x:v>
      </x:c>
      <x:c r="S16" s="30" t="str">
        <x:v>https://www.galgo.com/mx/motos/MX2607-zmoto-300-pro</x:v>
      </x:c>
    </x:row>
    <x:row r="17" ht="44" customHeight="1">
      <x:c r="A17" s="41" t="n">
        <x:v>16</x:v>
      </x:c>
      <x:c r="B17" s="41" t="str">
        <x:v>ZMOTO</x:v>
      </x:c>
      <x:c r="C17" s="30" t="str">
        <x:v>Aktiva 150</x:v>
      </x:c>
      <x:c r="D17" s="30" t="str">
        <x:v>Scooter</x:v>
      </x:c>
      <x:c r="E17" s="30" t="str">
        <x:v>150 cc</x:v>
      </x:c>
      <x:c r="F17" s="30" t="str">
        <x:v>8.3 hp @ 8,500 rpm</x:v>
      </x:c>
      <x:c r="G17" s="30" t="str">
        <x:v>8.8 Nm @ 7,500 rpm</x:v>
      </x:c>
      <x:c r="H17" s="30" t="str">
        <x:v>Aire</x:v>
      </x:c>
      <x:c r="I17" s="30" t="str">
        <x:v>Automática</x:v>
      </x:c>
      <x:c r="J17" s="30" t="str">
        <x:v>60 km/h</x:v>
      </x:c>
      <x:c r="K17" s="30" t="str">
        <x:v>Disco / tambor</x:v>
      </x:c>
      <x:c r="L17" s="30" t="str">
        <x:v>3.5-R10 / 3.5-R10</x:v>
      </x:c>
      <x:c r="M17" s="30" t="str">
        <x:v>150 kg</x:v>
      </x:c>
      <x:c r="N17" s="30" t="str">
        <x:v>N/D</x:v>
      </x:c>
      <x:c r="O17" s="30" t="str">
        <x:v>Digital; eléctrico y patada</x:v>
      </x:c>
      <x:c r="P17" s="41" t="str">
        <x:v>APROBADA</x:v>
      </x:c>
      <x:c r="Q17" s="30" t="str">
        <x:v>Cuatro vistas completas verificadas: frontal 3/4, lateral y traseras 3/4.</x:v>
      </x:c>
      <x:c r="R17" s="30" t="str">
        <x:v>https://www.zmoto.com.mx/shop/zmoto-aktiva150-5191</x:v>
      </x:c>
      <x:c r="S17" s="30" t="str">
        <x:v>https://www.galgo.com/mx/motos/MX2611-zmoto-aktiva-150</x:v>
      </x:c>
    </x:row>
    <x:row r="18" ht="44" customHeight="1">
      <x:c r="A18" s="41" t="n">
        <x:v>17</x:v>
      </x:c>
      <x:c r="B18" s="41" t="str">
        <x:v>ZMOTO</x:v>
      </x:c>
      <x:c r="C18" s="30" t="str">
        <x:v>Rapid 150</x:v>
      </x:c>
      <x:c r="D18" s="30" t="str">
        <x:v>Scooter</x:v>
      </x:c>
      <x:c r="E18" s="30" t="str">
        <x:v>150 cc</x:v>
      </x:c>
      <x:c r="F18" s="30" t="str">
        <x:v>8.3 hp @ 8,500 rpm</x:v>
      </x:c>
      <x:c r="G18" s="30" t="str">
        <x:v>8.8 Nm @ 7,500 rpm</x:v>
      </x:c>
      <x:c r="H18" s="30" t="str">
        <x:v>Aire</x:v>
      </x:c>
      <x:c r="I18" s="30" t="str">
        <x:v>Automática</x:v>
      </x:c>
      <x:c r="J18" s="30" t="str">
        <x:v>60 km/h</x:v>
      </x:c>
      <x:c r="K18" s="30" t="str">
        <x:v>Disco / tambor</x:v>
      </x:c>
      <x:c r="L18" s="30" t="str">
        <x:v>3.5-R10 / 3.5-R10</x:v>
      </x:c>
      <x:c r="M18" s="30" t="str">
        <x:v>150 kg</x:v>
      </x:c>
      <x:c r="N18" s="30" t="str">
        <x:v>N/D</x:v>
      </x:c>
      <x:c r="O18" s="30" t="str">
        <x:v>Análogo (oficial); eléctrico y patada</x:v>
      </x:c>
      <x:c r="P18" s="41" t="str">
        <x:v>APROBADA CON NOTA</x:v>
      </x:c>
      <x:c r="Q18" s="30" t="str">
        <x:v>Galgo menciona tablero LED digital, mientras ZMoto especifica tacómetro análogo. Se priorizó la ficha oficial.</x:v>
      </x:c>
      <x:c r="R18" s="30" t="str">
        <x:v>https://www.zmoto.com.mx/shop/zmoto-rapid150-5190</x:v>
      </x:c>
      <x:c r="S18" s="30" t="str">
        <x:v>https://www.galgo.com/mx/motos/MX2685-zmoto-rapid-150</x:v>
      </x:c>
    </x:row>
  </x:sheetData>
  <x:conditionalFormatting sqref="P2:P18">
    <x:cfRule type="expression" dxfId="0" priority="1">
      <x:formula>LEFT(P2,7)="REVISAR"</x:formula>
    </x:cfRule>
    <x:cfRule type="expression" dxfId="1" priority="2">
      <x:formula>LEFT(P2,8)="APROBADA"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24" hidden="0" customWidth="1"/>
  </x:cols>
  <x:sheetData>
    <x:row r="1">
      <x:c r="A1" s="5" t="str">
        <x:v>GALERÍA ZMOTO — 4 FOTOS POR MODELO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30" t="str">
        <x:v>Las imágenes se cargan desde enlaces directos de alta resolución. Requiere Excel 365, Excel para la web o una versión compatible con IMAGE.</x:v>
      </x:c>
      <x:c r="B3" s="30"/>
      <x:c r="C3" s="30"/>
      <x:c r="D3" s="30"/>
      <x:c r="E3" s="30"/>
      <x:c r="F3" s="30"/>
    </x:row>
    <x:row r="5">
      <x:c r="A5" s="13" t="str">
        <x:v>01. ZMOTO Runga Pasajeros</x:v>
      </x:c>
      <x:c r="B5" s="13"/>
      <x:c r="C5" s="13"/>
      <x:c r="D5" s="13"/>
      <x:c r="E5" s="13"/>
      <x:c r="F5" s="13"/>
    </x:row>
    <x:row r="6" ht="165" customHeight="1">
      <x:c r="A6" s="22" t="str">
        <x:v>FOTOS</x:v>
      </x:c>
      <x:c r="B6" s="41" t="e">
        <x:f>IMAGE("https://www.zmoto.com.mx/web/image/product.product/47/image_1024/ZMOTO%20RUNGA250P%20%28Rojo%29?unique=734f61a","Runga Pasajeros foto 1",0)</x:f>
      </x:c>
      <x:c r="C6" s="41" t="e">
        <x:f>IMAGE("https://www.zmoto.com.mx/web/image/product.image/62/image_1024/RUNGA%20PASAJ%20RJ%20LATERAL.webp?unique=c786f24","Runga Pasajeros foto 2",0)</x:f>
      </x:c>
      <x:c r="D6" s="41" t="e">
        <x:f>IMAGE("https://www.zmoto.com.mx/web/image/product.image/64/image_1024/RUNGA%20PASAJ%20RJ%20BACK.webp?unique=c786f24","Runga Pasajeros foto 3",0)</x:f>
      </x:c>
      <x:c r="E6" s="41" t="e">
        <x:f>IMAGE("https://www.zmoto.com.mx/web/image/product.image/65/image_1024/RUNGA%20PASAJ%20RJ%20FRONT.webp?unique=c786f24","Runga Pasajeros foto 4",0)</x:f>
      </x:c>
      <x:c r="F6" s="41" t="e">
        <x:f>HYPERLINK("https://www.zmoto.com.mx/shop/zmoto-runga250p-23","ABRIR FUENTE")</x:f>
      </x:c>
    </x:row>
    <x:row r="7" ht="32" customHeight="1">
      <x:c r="A7" s="22" t="str">
        <x:v>ÁNGULO</x:v>
      </x:c>
      <x:c r="B7" s="41" t="str">
        <x:v>Frontal 3/4</x:v>
      </x:c>
      <x:c r="C7" s="41" t="str">
        <x:v>Lateral</x:v>
      </x:c>
      <x:c r="D7" s="41" t="str">
        <x:v>Trasera</x:v>
      </x:c>
      <x:c r="E7" s="41" t="str">
        <x:v>Frontal</x:v>
      </x:c>
      <x:c r="F7" s="41" t="str">
        <x:v>REVISAR POTENCIA</x:v>
      </x:c>
    </x:row>
    <x:row r="8" ht="25" customHeight="1">
      <x:c r="A8" s="22" t="str">
        <x:v>DESCARGA</x:v>
      </x:c>
      <x:c r="B8" s="41" t="e">
        <x:f>HYPERLINK("https://www.zmoto.com.mx/web/image/product.product/47/image_1024/ZMOTO%20RUNGA250P%20%28Rojo%29?unique=734f61a","ABRIR FOTO 1")</x:f>
      </x:c>
      <x:c r="C8" s="41" t="e">
        <x:f>HYPERLINK("https://www.zmoto.com.mx/web/image/product.image/62/image_1024/RUNGA%20PASAJ%20RJ%20LATERAL.webp?unique=c786f24","ABRIR FOTO 2")</x:f>
      </x:c>
      <x:c r="D8" s="41" t="e">
        <x:f>HYPERLINK("https://www.zmoto.com.mx/web/image/product.image/64/image_1024/RUNGA%20PASAJ%20RJ%20BACK.webp?unique=c786f24","ABRIR FOTO 3")</x:f>
      </x:c>
      <x:c r="E8" s="41" t="e">
        <x:f>HYPERLINK("https://www.zmoto.com.mx/web/image/product.image/65/image_1024/RUNGA%20PASAJ%20RJ%20FRONT.webp?unique=c786f24","ABRIR FOTO 4")</x:f>
      </x:c>
      <x:c r="F8" s="41" t="str">
        <x:v>Ver CONTROL_FOTOS para URL directa</x:v>
      </x:c>
    </x:row>
    <x:row r="10">
      <x:c r="A10" s="13" t="str">
        <x:v>02. ZMOTO Runga 320Z</x:v>
      </x:c>
      <x:c r="B10" s="13"/>
      <x:c r="C10" s="13"/>
      <x:c r="D10" s="13"/>
      <x:c r="E10" s="13"/>
      <x:c r="F10" s="13"/>
    </x:row>
    <x:row r="11" ht="165" customHeight="1">
      <x:c r="A11" s="22" t="str">
        <x:v>FOTOS</x:v>
      </x:c>
      <x:c r="B11" s="41" t="e">
        <x:f>IMAGE("https://www.zmoto.com.mx/web/image/product.product/45/image_1024/ZMOTO%20RUNGA320Z%20%28Rojo%29?unique=734f61a","Runga 320Z foto 1",0)</x:f>
      </x:c>
      <x:c r="C11" s="41" t="e">
        <x:f>IMAGE("https://www.zmoto.com.mx/web/image/product.image/76/image_1024/image_1920?unique=94b6f9e","Runga 320Z foto 2",0)</x:f>
      </x:c>
      <x:c r="D11" s="41" t="e">
        <x:f>IMAGE("https://images.ctfassets.net/8zlbnewncp6f/2Rf3YLB91lzrf23Ubv2AFg/74074df6a9ccf6ae1630a02e0be44d2e/Moto_Zmoto_Runga_320Z_Galgo_M_xico.jpg?fit=pad&amp;fm=webp&amp;h=1200&amp;q=95&amp;w=1600","Runga 320Z foto 3",0)</x:f>
      </x:c>
      <x:c r="E11" s="41" t="e">
        <x:f>IMAGE("https://images.ctfassets.net/8zlbnewncp6f/VIls4A8g92qxYhywLG4mr/32529cda998ee3e8039c7eb58dae448b/Zmoto_Runga_320Z_Lifestyle1_Galgo.jpg?fm=webp&amp;q=100&amp;w=1600","Runga 320Z foto 4",0)</x:f>
      </x:c>
      <x:c r="F11" s="41" t="e">
        <x:f>HYPERLINK("https://www.galgo.com/mx/motos/MX1327-zmoto-runga-320z","ABRIR FUENTE")</x:f>
      </x:c>
    </x:row>
    <x:row r="12" ht="32" customHeight="1">
      <x:c r="A12" s="22" t="str">
        <x:v>ÁNGULO</x:v>
      </x:c>
      <x:c r="B12" s="41" t="str">
        <x:v>Frontal 3/4 con cabina</x:v>
      </x:c>
      <x:c r="C12" s="41" t="str">
        <x:v>Trasera</x:v>
      </x:c>
      <x:c r="D12" s="41" t="str">
        <x:v>Lateral</x:v>
      </x:c>
      <x:c r="E12" s="41" t="str">
        <x:v>Rodando 3/4</x:v>
      </x:c>
      <x:c r="F12" s="41" t="str">
        <x:v>APROBADA</x:v>
      </x:c>
    </x:row>
    <x:row r="13" ht="25" customHeight="1">
      <x:c r="A13" s="22" t="str">
        <x:v>DESCARGA</x:v>
      </x:c>
      <x:c r="B13" s="41" t="e">
        <x:f>HYPERLINK("https://www.zmoto.com.mx/web/image/product.product/45/image_1024/ZMOTO%20RUNGA320Z%20%28Rojo%29?unique=734f61a","ABRIR FOTO 1")</x:f>
      </x:c>
      <x:c r="C13" s="41" t="e">
        <x:f>HYPERLINK("https://www.zmoto.com.mx/web/image/product.image/76/image_1024/image_1920?unique=94b6f9e","ABRIR FOTO 2")</x:f>
      </x:c>
      <x:c r="D13" s="41" t="e">
        <x:f>HYPERLINK("https://images.ctfassets.net/8zlbnewncp6f/2Rf3YLB91lzrf23Ubv2AFg/74074df6a9ccf6ae1630a02e0be44d2e/Moto_Zmoto_Runga_320Z_Galgo_M_xico.jpg?fit=pad&amp;fm=webp&amp;h=1200&amp;q=95&amp;w=1600","ABRIR FOTO 3")</x:f>
      </x:c>
      <x:c r="E13" s="41" t="e">
        <x:f>HYPERLINK("https://images.ctfassets.net/8zlbnewncp6f/VIls4A8g92qxYhywLG4mr/32529cda998ee3e8039c7eb58dae448b/Zmoto_Runga_320Z_Lifestyle1_Galgo.jpg?fm=webp&amp;q=100&amp;w=1600","ABRIR FOTO 4")</x:f>
      </x:c>
      <x:c r="F13" s="41" t="str">
        <x:v>Ver CONTROL_FOTOS para URL directa</x:v>
      </x:c>
    </x:row>
    <x:row r="15">
      <x:c r="A15" s="13" t="str">
        <x:v>03. ZMOTO Runga 250Z</x:v>
      </x:c>
      <x:c r="B15" s="13"/>
      <x:c r="C15" s="13"/>
      <x:c r="D15" s="13"/>
      <x:c r="E15" s="13"/>
      <x:c r="F15" s="13"/>
    </x:row>
    <x:row r="16" ht="165" customHeight="1">
      <x:c r="A16" s="22" t="str">
        <x:v>FOTOS</x:v>
      </x:c>
      <x:c r="B16" s="41" t="e">
        <x:f>IMAGE("https://images.ctfassets.net/8zlbnewncp6f/658THtxTZatZ2ny0cgOKgt/c553acd4f6a234a1133a81995505d30d/Imagen_principal__6_.png?fit=pad&amp;fm=webp&amp;h=1200&amp;q=95&amp;w=1600","Runga 250Z foto 1",0)</x:f>
      </x:c>
      <x:c r="C16" s="41" t="e">
        <x:f>IMAGE("https://images.ctfassets.net/8zlbnewncp6f/36eFpOlifSVIHDGAGLnrGd/0703eb108bff4283b2c2c56b22727888/Moto_Runga_250_con_Cabina_Galgo_M%C3%A9xico.jpg?fit=pad&amp;fm=webp&amp;h=1200&amp;q=95&amp;w=1600","Runga 250Z foto 2",0)</x:f>
      </x:c>
      <x:c r="D16" s="41" t="e">
        <x:f>IMAGE("https://images.ctfassets.net/8zlbnewncp6f/ZMDWHz4i645MNcu8ZIMGY/5812478086df3675213ed6bb5bba8631/f7bb62_80b6fcaa2ae94361812bc4e2dd67ee1c-mv2.jpg?fit=pad&amp;fm=webp&amp;h=1200&amp;q=95&amp;w=1600","Runga 250Z foto 3",0)</x:f>
      </x:c>
      <x:c r="E16" s="41" t="e">
        <x:f>IMAGE("https://www.motocool.net/web/image/product.template/25/image_1920?unique=c3d85fa","Runga 250Z foto 4",0)</x:f>
      </x:c>
      <x:c r="F16" s="41" t="e">
        <x:f>HYPERLINK("https://www.galgo.com/mx/motos/MX1329-zmoto-runga-250-con-cabina","ABRIR FUENTE")</x:f>
      </x:c>
    </x:row>
    <x:row r="17" ht="32" customHeight="1">
      <x:c r="A17" s="22" t="str">
        <x:v>ÁNGULO</x:v>
      </x:c>
      <x:c r="B17" s="41" t="str">
        <x:v>Frontal 3/4 cabina</x:v>
      </x:c>
      <x:c r="C17" s="41" t="str">
        <x:v>Frontal 3/4 abierta</x:v>
      </x:c>
      <x:c r="D17" s="41" t="str">
        <x:v>Lateral</x:v>
      </x:c>
      <x:c r="E17" s="41" t="str">
        <x:v>Vista oficial</x:v>
      </x:c>
      <x:c r="F17" s="41" t="str">
        <x:v>APROBADA CON NOTA</x:v>
      </x:c>
    </x:row>
    <x:row r="18" ht="25" customHeight="1">
      <x:c r="A18" s="22" t="str">
        <x:v>DESCARGA</x:v>
      </x:c>
      <x:c r="B18" s="41" t="e">
        <x:f>HYPERLINK("https://images.ctfassets.net/8zlbnewncp6f/658THtxTZatZ2ny0cgOKgt/c553acd4f6a234a1133a81995505d30d/Imagen_principal__6_.png?fit=pad&amp;fm=webp&amp;h=1200&amp;q=95&amp;w=1600","ABRIR FOTO 1")</x:f>
      </x:c>
      <x:c r="C18" s="41" t="e">
        <x:f>HYPERLINK("https://images.ctfassets.net/8zlbnewncp6f/36eFpOlifSVIHDGAGLnrGd/0703eb108bff4283b2c2c56b22727888/Moto_Runga_250_con_Cabina_Galgo_M%C3%A9xico.jpg?fit=pad&amp;fm=webp&amp;h=1200&amp;q=95&amp;w=1600","ABRIR FOTO 2")</x:f>
      </x:c>
      <x:c r="D18" s="41" t="e">
        <x:f>HYPERLINK("https://images.ctfassets.net/8zlbnewncp6f/ZMDWHz4i645MNcu8ZIMGY/5812478086df3675213ed6bb5bba8631/f7bb62_80b6fcaa2ae94361812bc4e2dd67ee1c-mv2.jpg?fit=pad&amp;fm=webp&amp;h=1200&amp;q=95&amp;w=1600","ABRIR FOTO 3")</x:f>
      </x:c>
      <x:c r="E18" s="41" t="e">
        <x:f>HYPERLINK("https://www.motocool.net/web/image/product.template/25/image_1920?unique=c3d85fa","ABRIR FOTO 4")</x:f>
      </x:c>
      <x:c r="F18" s="41" t="str">
        <x:v>Ver CONTROL_FOTOS para URL directa</x:v>
      </x:c>
    </x:row>
    <x:row r="20">
      <x:c r="A20" s="13" t="str">
        <x:v>04. ZMOTO Runga 250</x:v>
      </x:c>
      <x:c r="B20" s="13"/>
      <x:c r="C20" s="13"/>
      <x:c r="D20" s="13"/>
      <x:c r="E20" s="13"/>
      <x:c r="F20" s="13"/>
    </x:row>
    <x:row r="21" ht="165" customHeight="1">
      <x:c r="A21" s="22" t="str">
        <x:v>FOTOS</x:v>
      </x:c>
      <x:c r="B21" s="41" t="e">
        <x:f>IMAGE("https://www.zmoto.com.mx/web/image/product.product/49/image_1024/ZMOTO%20RUNGA250%20%28Rojo%29?unique=14a61c2","Runga 250 foto 1",0)</x:f>
      </x:c>
      <x:c r="C21" s="41" t="e">
        <x:f>IMAGE("https://www.zmoto.com.mx/web/image/product.image/85/image_1024/FRONTAL.webp?unique=7e12bac","Runga 250 foto 2",0)</x:f>
      </x:c>
      <x:c r="D21" s="41" t="e">
        <x:f>IMAGE("https://www.zmoto.com.mx/web/image/product.image/86/image_1024/LATERAL%202.webp?unique=7e12bac","Runga 250 foto 3",0)</x:f>
      </x:c>
      <x:c r="E21" s="41" t="e">
        <x:f>IMAGE("https://www.zmoto.com.mx/web/image/product.image/87/image_1024/LATERAL.webp?unique=7e12bac","Runga 250 foto 4",0)</x:f>
      </x:c>
      <x:c r="F21" s="41" t="e">
        <x:f>HYPERLINK("https://www.zmoto.com.mx/shop/zmoto-runga250-24","ABRIR FUENTE")</x:f>
      </x:c>
    </x:row>
    <x:row r="22" ht="32" customHeight="1">
      <x:c r="A22" s="22" t="str">
        <x:v>ÁNGULO</x:v>
      </x:c>
      <x:c r="B22" s="41" t="str">
        <x:v>Frontal 3/4</x:v>
      </x:c>
      <x:c r="C22" s="41" t="str">
        <x:v>Frontal</x:v>
      </x:c>
      <x:c r="D22" s="41" t="str">
        <x:v>Lateral derecha</x:v>
      </x:c>
      <x:c r="E22" s="41" t="str">
        <x:v>Lateral izquierda</x:v>
      </x:c>
      <x:c r="F22" s="41" t="str">
        <x:v>APROBADA</x:v>
      </x:c>
    </x:row>
    <x:row r="23" ht="25" customHeight="1">
      <x:c r="A23" s="22" t="str">
        <x:v>DESCARGA</x:v>
      </x:c>
      <x:c r="B23" s="41" t="e">
        <x:f>HYPERLINK("https://www.zmoto.com.mx/web/image/product.product/49/image_1024/ZMOTO%20RUNGA250%20%28Rojo%29?unique=14a61c2","ABRIR FOTO 1")</x:f>
      </x:c>
      <x:c r="C23" s="41" t="e">
        <x:f>HYPERLINK("https://www.zmoto.com.mx/web/image/product.image/85/image_1024/FRONTAL.webp?unique=7e12bac","ABRIR FOTO 2")</x:f>
      </x:c>
      <x:c r="D23" s="41" t="e">
        <x:f>HYPERLINK("https://www.zmoto.com.mx/web/image/product.image/86/image_1024/LATERAL%202.webp?unique=7e12bac","ABRIR FOTO 3")</x:f>
      </x:c>
      <x:c r="E23" s="41" t="e">
        <x:f>HYPERLINK("https://www.zmoto.com.mx/web/image/product.image/87/image_1024/LATERAL.webp?unique=7e12bac","ABRIR FOTO 4")</x:f>
      </x:c>
      <x:c r="F23" s="41" t="str">
        <x:v>Ver CONTROL_FOTOS para URL directa</x:v>
      </x:c>
    </x:row>
    <x:row r="25">
      <x:c r="A25" s="13" t="str">
        <x:v>05. ZMOTO Zmax Plus</x:v>
      </x:c>
      <x:c r="B25" s="13"/>
      <x:c r="C25" s="13"/>
      <x:c r="D25" s="13"/>
      <x:c r="E25" s="13"/>
      <x:c r="F25" s="13"/>
    </x:row>
    <x:row r="26" ht="165" customHeight="1">
      <x:c r="A26" s="22" t="str">
        <x:v>FOTOS</x:v>
      </x:c>
      <x:c r="B26" s="41" t="e">
        <x:f>IMAGE("https://images.ctfassets.net/8zlbnewncp6f/3jA1O5HsUgZfLVuw5WqOZd/0fd4893cb431f2329e27396216d58a96/Moto_Zmoto_ZMX_200_Plus_Galgo_M_xico.jpg?fit=pad&amp;fm=webp&amp;h=1200&amp;q=95&amp;w=1600","Zmax Plus foto 1",0)</x:f>
      </x:c>
      <x:c r="C26" s="41" t="e">
        <x:f>IMAGE("https://images.ctfassets.net/8zlbnewncp6f/tiCcRrlnrAq39PZLMl0Mc/829a7367ba7b145b05fd7ad456578c47/Moto_Zmoto_ZMX_200_Plus_Galgo_M_xico_1.jpg?fit=pad&amp;fm=webp&amp;h=1200&amp;q=95&amp;w=1600","Zmax Plus foto 2",0)</x:f>
      </x:c>
      <x:c r="D26" s="41" t="e">
        <x:f>IMAGE("https://images.ctfassets.net/8zlbnewncp6f/3oI5tMdbaCDflsyXsA9f4x/b082a9c18a57bfd1ea72183bb5904d8b/Moto_Zmoto_ZMX_200_Plus_Galgo_M_xico__2.jpg?fit=pad&amp;fm=webp&amp;h=1200&amp;q=95&amp;w=1600","Zmax Plus foto 3",0)</x:f>
      </x:c>
      <x:c r="E26" s="41" t="e">
        <x:f>IMAGE("https://images.ctfassets.net/8zlbnewncp6f/2xvB0mOP3KMBitLO2rFYgt/b45b8d78bf6aafcccb3c1fe3a2d2cb45/Moto_Zmoto_ZMX_200_Plus_Galgo_M_xico_3.jpg?fit=pad&amp;fm=webp&amp;h=1200&amp;q=95&amp;w=1600","Zmax Plus foto 4",0)</x:f>
      </x:c>
      <x:c r="F26" s="41" t="e">
        <x:f>HYPERLINK("https://www.galgo.com/mx/motos/MX1330-zmoto-zmax-200-plus","ABRIR FUENTE")</x:f>
      </x:c>
    </x:row>
    <x:row r="27" ht="32" customHeight="1">
      <x:c r="A27" s="22" t="str">
        <x:v>ÁNGULO</x:v>
      </x:c>
      <x:c r="B27" s="41" t="str">
        <x:v>Frontal 3/4</x:v>
      </x:c>
      <x:c r="C27" s="41" t="str">
        <x:v>Frontal</x:v>
      </x:c>
      <x:c r="D27" s="41" t="str">
        <x:v>Lateral</x:v>
      </x:c>
      <x:c r="E27" s="41" t="str">
        <x:v>Frontal alineada</x:v>
      </x:c>
      <x:c r="F27" s="41" t="str">
        <x:v>REVISAR FICHA</x:v>
      </x:c>
    </x:row>
    <x:row r="28" ht="25" customHeight="1">
      <x:c r="A28" s="22" t="str">
        <x:v>DESCARGA</x:v>
      </x:c>
      <x:c r="B28" s="41" t="e">
        <x:f>HYPERLINK("https://images.ctfassets.net/8zlbnewncp6f/3jA1O5HsUgZfLVuw5WqOZd/0fd4893cb431f2329e27396216d58a96/Moto_Zmoto_ZMX_200_Plus_Galgo_M_xico.jpg?fit=pad&amp;fm=webp&amp;h=1200&amp;q=95&amp;w=1600","ABRIR FOTO 1")</x:f>
      </x:c>
      <x:c r="C28" s="41" t="e">
        <x:f>HYPERLINK("https://images.ctfassets.net/8zlbnewncp6f/tiCcRrlnrAq39PZLMl0Mc/829a7367ba7b145b05fd7ad456578c47/Moto_Zmoto_ZMX_200_Plus_Galgo_M_xico_1.jpg?fit=pad&amp;fm=webp&amp;h=1200&amp;q=95&amp;w=1600","ABRIR FOTO 2")</x:f>
      </x:c>
      <x:c r="D28" s="41" t="e">
        <x:f>HYPERLINK("https://images.ctfassets.net/8zlbnewncp6f/3oI5tMdbaCDflsyXsA9f4x/b082a9c18a57bfd1ea72183bb5904d8b/Moto_Zmoto_ZMX_200_Plus_Galgo_M_xico__2.jpg?fit=pad&amp;fm=webp&amp;h=1200&amp;q=95&amp;w=1600","ABRIR FOTO 3")</x:f>
      </x:c>
      <x:c r="E28" s="41" t="e">
        <x:f>HYPERLINK("https://images.ctfassets.net/8zlbnewncp6f/2xvB0mOP3KMBitLO2rFYgt/b45b8d78bf6aafcccb3c1fe3a2d2cb45/Moto_Zmoto_ZMX_200_Plus_Galgo_M_xico_3.jpg?fit=pad&amp;fm=webp&amp;h=1200&amp;q=95&amp;w=1600","ABRIR FOTO 4")</x:f>
      </x:c>
      <x:c r="F28" s="41" t="str">
        <x:v>Ver CONTROL_FOTOS para URL directa</x:v>
      </x:c>
    </x:row>
    <x:row r="30">
      <x:c r="A30" s="13" t="str">
        <x:v>06. ZMOTO Zmax 200</x:v>
      </x:c>
      <x:c r="B30" s="13"/>
      <x:c r="C30" s="13"/>
      <x:c r="D30" s="13"/>
      <x:c r="E30" s="13"/>
      <x:c r="F30" s="13"/>
    </x:row>
    <x:row r="31" ht="165" customHeight="1">
      <x:c r="A31" s="22" t="str">
        <x:v>FOTOS</x:v>
      </x:c>
      <x:c r="B31" s="41" t="e">
        <x:f>IMAGE("https://images.ctfassets.net/8zlbnewncp6f/3hMk2yh9d3TEiEuGxeYHQt/c0a3878174139be706f975a477beeb77/Zmoto_ZMAX_200_Galgo_M_xico.png?fit=pad&amp;fm=webp&amp;h=1200&amp;q=95&amp;w=1600","Zmax 200 foto 1",0)</x:f>
      </x:c>
      <x:c r="C31" s="41" t="e">
        <x:f>IMAGE("https://images.ctfassets.net/8zlbnewncp6f/50NYnnLSXTY92d38YJATi7/c08c40d36d9a52a6832bce85a4695737/Zmoto_Zmax_200_1_3.jpg?fit=pad&amp;fm=webp&amp;h=1200&amp;q=95&amp;w=1600","Zmax 200 foto 2",0)</x:f>
      </x:c>
      <x:c r="D31" s="41" t="e">
        <x:f>IMAGE("https://images.ctfassets.net/8zlbnewncp6f/6SadrKb7JAj7iXP4D9xSoY/a302e5b80716bdbccfb427d10f5067ea/Zmoto_Zmax_200_1_4.jpg?fit=pad&amp;fm=webp&amp;h=1200&amp;q=95&amp;w=1600","Zmax 200 foto 3",0)</x:f>
      </x:c>
      <x:c r="E31" s="41" t="e">
        <x:f>IMAGE("https://images.ctfassets.net/8zlbnewncp6f/1uXPLsHXenDcEnH9AUp579/7296cff90ccfca241fc551115f20200d/Zmoto_ZMAX_200_Lifestyle2_Galgo.jpg?fm=webp&amp;q=100&amp;w=1600","Zmax 200 foto 4",0)</x:f>
      </x:c>
      <x:c r="F31" s="41" t="e">
        <x:f>HYPERLINK("https://www.galgo.com/mx/motos/MX915-zmoto-zmax-200","ABRIR FUENTE")</x:f>
      </x:c>
    </x:row>
    <x:row r="32" ht="32" customHeight="1">
      <x:c r="A32" s="22" t="str">
        <x:v>ÁNGULO</x:v>
      </x:c>
      <x:c r="B32" s="41" t="str">
        <x:v>Frontal 3/4</x:v>
      </x:c>
      <x:c r="C32" s="41" t="str">
        <x:v>Lateral</x:v>
      </x:c>
      <x:c r="D32" s="41" t="str">
        <x:v>Frontal</x:v>
      </x:c>
      <x:c r="E32" s="41" t="str">
        <x:v>Estática 3/4</x:v>
      </x:c>
      <x:c r="F32" s="41" t="str">
        <x:v>APROBADA CON NOTA</x:v>
      </x:c>
    </x:row>
    <x:row r="33" ht="25" customHeight="1">
      <x:c r="A33" s="22" t="str">
        <x:v>DESCARGA</x:v>
      </x:c>
      <x:c r="B33" s="41" t="e">
        <x:f>HYPERLINK("https://images.ctfassets.net/8zlbnewncp6f/3hMk2yh9d3TEiEuGxeYHQt/c0a3878174139be706f975a477beeb77/Zmoto_ZMAX_200_Galgo_M_xico.png?fit=pad&amp;fm=webp&amp;h=1200&amp;q=95&amp;w=1600","ABRIR FOTO 1")</x:f>
      </x:c>
      <x:c r="C33" s="41" t="e">
        <x:f>HYPERLINK("https://images.ctfassets.net/8zlbnewncp6f/50NYnnLSXTY92d38YJATi7/c08c40d36d9a52a6832bce85a4695737/Zmoto_Zmax_200_1_3.jpg?fit=pad&amp;fm=webp&amp;h=1200&amp;q=95&amp;w=1600","ABRIR FOTO 2")</x:f>
      </x:c>
      <x:c r="D33" s="41" t="e">
        <x:f>HYPERLINK("https://images.ctfassets.net/8zlbnewncp6f/6SadrKb7JAj7iXP4D9xSoY/a302e5b80716bdbccfb427d10f5067ea/Zmoto_Zmax_200_1_4.jpg?fit=pad&amp;fm=webp&amp;h=1200&amp;q=95&amp;w=1600","ABRIR FOTO 3")</x:f>
      </x:c>
      <x:c r="E33" s="41" t="e">
        <x:f>HYPERLINK("https://images.ctfassets.net/8zlbnewncp6f/1uXPLsHXenDcEnH9AUp579/7296cff90ccfca241fc551115f20200d/Zmoto_ZMAX_200_Lifestyle2_Galgo.jpg?fm=webp&amp;q=100&amp;w=1600","ABRIR FOTO 4")</x:f>
      </x:c>
      <x:c r="F33" s="41" t="str">
        <x:v>Ver CONTROL_FOTOS para URL directa</x:v>
      </x:c>
    </x:row>
    <x:row r="35">
      <x:c r="A35" s="13" t="str">
        <x:v>07. ZMOTO Carguero 320</x:v>
      </x:c>
      <x:c r="B35" s="13"/>
      <x:c r="C35" s="13"/>
      <x:c r="D35" s="13"/>
      <x:c r="E35" s="13"/>
      <x:c r="F35" s="13"/>
    </x:row>
    <x:row r="36" ht="165" customHeight="1">
      <x:c r="A36" s="22" t="str">
        <x:v>FOTOS</x:v>
      </x:c>
      <x:c r="B36" s="41" t="e">
        <x:f>IMAGE("https://images.ctfassets.net/8zlbnewncp6f/6fJx0weVGPmnDUq7LL3ufp/9146c08a6852be0b4abaed7cb0593a5c/RUNGA_CARGUERO_300_Imagen_principal_Galgo_M_xico.png?fit=pad&amp;fm=webp&amp;h=1200&amp;q=95&amp;w=1600","Carguero 320 foto 1",0)</x:f>
      </x:c>
      <x:c r="C36" s="41" t="e">
        <x:f>IMAGE("https://images.ctfassets.net/8zlbnewncp6f/66kbfuG3DjMNNIRBN1kQgV/769d404081ba86868c006e2988f77207/RUNGA_CARGUERO_300_Galeria1_Galgo_M_xico.png?fit=pad&amp;fm=webp&amp;h=1200&amp;q=95&amp;w=1600","Carguero 320 foto 2",0)</x:f>
      </x:c>
      <x:c r="D36" s="41" t="e">
        <x:f>IMAGE("https://images.ctfassets.net/8zlbnewncp6f/3A2IwXuFiqkVclK3za2O1n/164460b8cf1c35fbaff4c0b4660e0cad/Zmoto_Runga_320_Carguero_Lifestyle1_Galgo.jpg?fm=webp&amp;q=100&amp;w=1600","Carguero 320 foto 3",0)</x:f>
      </x:c>
      <x:c r="E36" s="41" t="e">
        <x:f>IMAGE("https://images.ctfassets.net/8zlbnewncp6f/FmRv7ynyvSS00M2pAOV95/81458894252e924ff942fc459b7fb311/Zmoto_Runga_320_Carguero_Lifestyle2_Galgo.jpg?fm=webp&amp;q=100&amp;w=1600","Carguero 320 foto 4",0)</x:f>
      </x:c>
      <x:c r="F36" s="41" t="e">
        <x:f>HYPERLINK("https://www.galgo.com/mx/motos/MX2989-zmoto-runga-320-carguero","ABRIR FUENTE")</x:f>
      </x:c>
    </x:row>
    <x:row r="37" ht="32" customHeight="1">
      <x:c r="A37" s="22" t="str">
        <x:v>ÁNGULO</x:v>
      </x:c>
      <x:c r="B37" s="41" t="str">
        <x:v>Frontal 3/4</x:v>
      </x:c>
      <x:c r="C37" s="41" t="str">
        <x:v>Trasera 3/4 caja elevada</x:v>
      </x:c>
      <x:c r="D37" s="41" t="str">
        <x:v>Rodando 3/4</x:v>
      </x:c>
      <x:c r="E37" s="41" t="str">
        <x:v>Lateral</x:v>
      </x:c>
      <x:c r="F37" s="41" t="str">
        <x:v>REVISAR CILINDRADA</x:v>
      </x:c>
    </x:row>
    <x:row r="38" ht="25" customHeight="1">
      <x:c r="A38" s="22" t="str">
        <x:v>DESCARGA</x:v>
      </x:c>
      <x:c r="B38" s="41" t="e">
        <x:f>HYPERLINK("https://images.ctfassets.net/8zlbnewncp6f/6fJx0weVGPmnDUq7LL3ufp/9146c08a6852be0b4abaed7cb0593a5c/RUNGA_CARGUERO_300_Imagen_principal_Galgo_M_xico.png?fit=pad&amp;fm=webp&amp;h=1200&amp;q=95&amp;w=1600","ABRIR FOTO 1")</x:f>
      </x:c>
      <x:c r="C38" s="41" t="e">
        <x:f>HYPERLINK("https://images.ctfassets.net/8zlbnewncp6f/66kbfuG3DjMNNIRBN1kQgV/769d404081ba86868c006e2988f77207/RUNGA_CARGUERO_300_Galeria1_Galgo_M_xico.png?fit=pad&amp;fm=webp&amp;h=1200&amp;q=95&amp;w=1600","ABRIR FOTO 2")</x:f>
      </x:c>
      <x:c r="D38" s="41" t="e">
        <x:f>HYPERLINK("https://images.ctfassets.net/8zlbnewncp6f/3A2IwXuFiqkVclK3za2O1n/164460b8cf1c35fbaff4c0b4660e0cad/Zmoto_Runga_320_Carguero_Lifestyle1_Galgo.jpg?fm=webp&amp;q=100&amp;w=1600","ABRIR FOTO 3")</x:f>
      </x:c>
      <x:c r="E38" s="41" t="e">
        <x:f>HYPERLINK("https://images.ctfassets.net/8zlbnewncp6f/FmRv7ynyvSS00M2pAOV95/81458894252e924ff942fc459b7fb311/Zmoto_Runga_320_Carguero_Lifestyle2_Galgo.jpg?fm=webp&amp;q=100&amp;w=1600","ABRIR FOTO 4")</x:f>
      </x:c>
      <x:c r="F38" s="41" t="str">
        <x:v>Ver CONTROL_FOTOS para URL directa</x:v>
      </x:c>
    </x:row>
    <x:row r="40">
      <x:c r="A40" s="13" t="str">
        <x:v>08. ZMOTO SX6 250</x:v>
      </x:c>
      <x:c r="B40" s="13"/>
      <x:c r="C40" s="13"/>
      <x:c r="D40" s="13"/>
      <x:c r="E40" s="13"/>
      <x:c r="F40" s="13"/>
    </x:row>
    <x:row r="41" ht="165" customHeight="1">
      <x:c r="A41" s="22" t="str">
        <x:v>FOTOS</x:v>
      </x:c>
      <x:c r="B41" s="41" t="e">
        <x:f>IMAGE("https://images.ctfassets.net/8zlbnewncp6f/6ecaGe14VpbPSjXPcHDnvQ/6ea2b85bdce736d4cd9104010830165f/Zmoto_SX6_250_Galgo_M_xico.png?fit=pad&amp;fm=webp&amp;h=1200&amp;q=95&amp;w=1600","SX6 250 foto 1",0)</x:f>
      </x:c>
      <x:c r="C41" s="41" t="e">
        <x:f>IMAGE("https://images.ctfassets.net/8zlbnewncp6f/6gx1vH1W4B9bELP7x9mRjo/b2b40906116bb16adae8ed35b02fcb3b/Zmotos_SX6_250-1.jpg?fit=pad&amp;fm=webp&amp;h=1200&amp;q=95&amp;w=1600","SX6 250 foto 2",0)</x:f>
      </x:c>
      <x:c r="D41" s="41" t="e">
        <x:f>IMAGE("https://images.ctfassets.net/8zlbnewncp6f/74WtmmCuDUsbxkNSAem4Kr/c8518c7accfc5cdcc15bba8bb572af99/Zmoto_SX6_250_Lifestyle1_Galgo.jpg?fm=webp&amp;q=100&amp;w=1600","SX6 250 foto 3",0)</x:f>
      </x:c>
      <x:c r="E41" s="41" t="e">
        <x:f>IMAGE("https://images.ctfassets.net/8zlbnewncp6f/blIeLkE1MxQqyTIJMFjVT/1f05427c7085e1346ccc22c93eb0f355/Zmoto_SX6_250_Lifestyle2_Galgo.jpg?fm=webp&amp;q=100&amp;w=1600","SX6 250 foto 4",0)</x:f>
      </x:c>
      <x:c r="F41" s="41" t="e">
        <x:f>HYPERLINK("https://www.galgo.com/mx/motos/MX917-zmoto-sx6-250","ABRIR FUENTE")</x:f>
      </x:c>
    </x:row>
    <x:row r="42" ht="32" customHeight="1">
      <x:c r="A42" s="22" t="str">
        <x:v>ÁNGULO</x:v>
      </x:c>
      <x:c r="B42" s="41" t="str">
        <x:v>Lateral</x:v>
      </x:c>
      <x:c r="C42" s="41" t="str">
        <x:v>Frontal</x:v>
      </x:c>
      <x:c r="D42" s="41" t="str">
        <x:v>Acción frontal</x:v>
      </x:c>
      <x:c r="E42" s="41" t="str">
        <x:v>Estática lateral</x:v>
      </x:c>
      <x:c r="F42" s="41" t="str">
        <x:v>APROBADA</x:v>
      </x:c>
    </x:row>
    <x:row r="43" ht="25" customHeight="1">
      <x:c r="A43" s="22" t="str">
        <x:v>DESCARGA</x:v>
      </x:c>
      <x:c r="B43" s="41" t="e">
        <x:f>HYPERLINK("https://images.ctfassets.net/8zlbnewncp6f/6ecaGe14VpbPSjXPcHDnvQ/6ea2b85bdce736d4cd9104010830165f/Zmoto_SX6_250_Galgo_M_xico.png?fit=pad&amp;fm=webp&amp;h=1200&amp;q=95&amp;w=1600","ABRIR FOTO 1")</x:f>
      </x:c>
      <x:c r="C43" s="41" t="e">
        <x:f>HYPERLINK("https://images.ctfassets.net/8zlbnewncp6f/6gx1vH1W4B9bELP7x9mRjo/b2b40906116bb16adae8ed35b02fcb3b/Zmotos_SX6_250-1.jpg?fit=pad&amp;fm=webp&amp;h=1200&amp;q=95&amp;w=1600","ABRIR FOTO 2")</x:f>
      </x:c>
      <x:c r="D43" s="41" t="e">
        <x:f>HYPERLINK("https://images.ctfassets.net/8zlbnewncp6f/74WtmmCuDUsbxkNSAem4Kr/c8518c7accfc5cdcc15bba8bb572af99/Zmoto_SX6_250_Lifestyle1_Galgo.jpg?fm=webp&amp;q=100&amp;w=1600","ABRIR FOTO 3")</x:f>
      </x:c>
      <x:c r="E43" s="41" t="e">
        <x:f>HYPERLINK("https://images.ctfassets.net/8zlbnewncp6f/blIeLkE1MxQqyTIJMFjVT/1f05427c7085e1346ccc22c93eb0f355/Zmoto_SX6_250_Lifestyle2_Galgo.jpg?fm=webp&amp;q=100&amp;w=1600","ABRIR FOTO 4")</x:f>
      </x:c>
      <x:c r="F43" s="41" t="str">
        <x:v>Ver CONTROL_FOTOS para URL directa</x:v>
      </x:c>
    </x:row>
    <x:row r="45">
      <x:c r="A45" s="13" t="str">
        <x:v>09. ZMOTO Nitro 150</x:v>
      </x:c>
      <x:c r="B45" s="13"/>
      <x:c r="C45" s="13"/>
      <x:c r="D45" s="13"/>
      <x:c r="E45" s="13"/>
      <x:c r="F45" s="13"/>
    </x:row>
    <x:row r="46" ht="165" customHeight="1">
      <x:c r="A46" s="22" t="str">
        <x:v>FOTOS</x:v>
      </x:c>
      <x:c r="B46" s="41" t="e">
        <x:f>IMAGE("https://images.ctfassets.net/8zlbnewncp6f/7shGlNrXidlHqvWONhBXK1/0e4617fafe76ab0fb4a0fed110bb9f0b/NITRO_150_Imagen_principal_Galgo_M_xico.jpg?fit=pad&amp;fm=webp&amp;h=1200&amp;q=95&amp;w=1600","Nitro 150 foto 1",0)</x:f>
      </x:c>
      <x:c r="C46" s="41" t="e">
        <x:f>IMAGE("https://images.ctfassets.net/8zlbnewncp6f/6hTGabnCxJGUbPuS92FQS3/ad1934026b981a2432ad9a3d7929a0d9/NITRO_150_Galeria1_Galgo_M_xico.jpg?fit=pad&amp;fm=webp&amp;h=1200&amp;q=95&amp;w=1600","Nitro 150 foto 2",0)</x:f>
      </x:c>
      <x:c r="D46" s="41" t="e">
        <x:f>IMAGE("https://images.ctfassets.net/8zlbnewncp6f/6mnzH19Hd6cUeUqNmBtsse/55f7d79d73e46efa10289f0dd54fc3f0/NITRO_150_Lifestyle1_Galgo_M_xico.jpg?fit=pad&amp;fm=webp&amp;h=1200&amp;q=95&amp;w=1600","Nitro 150 foto 3",0)</x:f>
      </x:c>
      <x:c r="E46" s="41" t="e">
        <x:f>IMAGE("https://images.ctfassets.net/8zlbnewncp6f/19GFFGeDSOKZ1uM8naTbHp/8448545594ce6e69d96e73a8327d62dd/NITRO_150_Lifestyle2_Galgo_M_xico.jpg?fit=pad&amp;fm=webp&amp;h=1200&amp;q=95&amp;w=1600","Nitro 150 foto 4",0)</x:f>
      </x:c>
      <x:c r="F46" s="41" t="e">
        <x:f>HYPERLINK("https://www.galgo.com/mx/motos/MX2610-zmoto-nitro-150","ABRIR FUENTE")</x:f>
      </x:c>
    </x:row>
    <x:row r="47" ht="32" customHeight="1">
      <x:c r="A47" s="22" t="str">
        <x:v>ÁNGULO</x:v>
      </x:c>
      <x:c r="B47" s="41" t="str">
        <x:v>Frontal 3/4 azul</x:v>
      </x:c>
      <x:c r="C47" s="41" t="str">
        <x:v>Frontal 3/4 rojo</x:v>
      </x:c>
      <x:c r="D47" s="41" t="str">
        <x:v>Lateral derecho</x:v>
      </x:c>
      <x:c r="E47" s="41" t="str">
        <x:v>Lateral izquierdo</x:v>
      </x:c>
      <x:c r="F47" s="41" t="str">
        <x:v>APROBADA CON NOTA</x:v>
      </x:c>
    </x:row>
    <x:row r="48" ht="25" customHeight="1">
      <x:c r="A48" s="22" t="str">
        <x:v>DESCARGA</x:v>
      </x:c>
      <x:c r="B48" s="41" t="e">
        <x:f>HYPERLINK("https://images.ctfassets.net/8zlbnewncp6f/7shGlNrXidlHqvWONhBXK1/0e4617fafe76ab0fb4a0fed110bb9f0b/NITRO_150_Imagen_principal_Galgo_M_xico.jpg?fit=pad&amp;fm=webp&amp;h=1200&amp;q=95&amp;w=1600","ABRIR FOTO 1")</x:f>
      </x:c>
      <x:c r="C48" s="41" t="e">
        <x:f>HYPERLINK("https://images.ctfassets.net/8zlbnewncp6f/6hTGabnCxJGUbPuS92FQS3/ad1934026b981a2432ad9a3d7929a0d9/NITRO_150_Galeria1_Galgo_M_xico.jpg?fit=pad&amp;fm=webp&amp;h=1200&amp;q=95&amp;w=1600","ABRIR FOTO 2")</x:f>
      </x:c>
      <x:c r="D48" s="41" t="e">
        <x:f>HYPERLINK("https://images.ctfassets.net/8zlbnewncp6f/6mnzH19Hd6cUeUqNmBtsse/55f7d79d73e46efa10289f0dd54fc3f0/NITRO_150_Lifestyle1_Galgo_M_xico.jpg?fit=pad&amp;fm=webp&amp;h=1200&amp;q=95&amp;w=1600","ABRIR FOTO 3")</x:f>
      </x:c>
      <x:c r="E48" s="41" t="e">
        <x:f>HYPERLINK("https://images.ctfassets.net/8zlbnewncp6f/19GFFGeDSOKZ1uM8naTbHp/8448545594ce6e69d96e73a8327d62dd/NITRO_150_Lifestyle2_Galgo_M_xico.jpg?fit=pad&amp;fm=webp&amp;h=1200&amp;q=95&amp;w=1600","ABRIR FOTO 4")</x:f>
      </x:c>
      <x:c r="F48" s="41" t="str">
        <x:v>Ver CONTROL_FOTOS para URL directa</x:v>
      </x:c>
    </x:row>
    <x:row r="50">
      <x:c r="A50" s="13" t="str">
        <x:v>10. ZMOTO ZM 150</x:v>
      </x:c>
      <x:c r="B50" s="13"/>
      <x:c r="C50" s="13"/>
      <x:c r="D50" s="13"/>
      <x:c r="E50" s="13"/>
      <x:c r="F50" s="13"/>
    </x:row>
    <x:row r="51" ht="165" customHeight="1">
      <x:c r="A51" s="22" t="str">
        <x:v>FOTOS</x:v>
      </x:c>
      <x:c r="B51" s="41" t="e">
        <x:f>IMAGE("https://zoommotos.mx/cdn/shop/files/banners-ZMOTO-ZM150-azul-1.jpg?v=1722463053&amp;width=1946","ZM 150 foto 1",0)</x:f>
      </x:c>
      <x:c r="C51" s="41" t="e">
        <x:f>IMAGE("https://zoommotos.mx/cdn/shop/files/banners-ZMOTO-ZM150-azul-2.jpg?v=1722463053&amp;width=1946","ZM 150 foto 2",0)</x:f>
      </x:c>
      <x:c r="D51" s="41" t="e">
        <x:f>IMAGE("https://zoommotos.mx/cdn/shop/files/banners-ZMOTO-ZM150-azul-7.jpg?v=1722463053&amp;width=1946","ZM 150 foto 3",0)</x:f>
      </x:c>
      <x:c r="E51" s="41" t="e">
        <x:f>IMAGE("https://images.ctfassets.net/8zlbnewncp6f/1Bxhii1V1HDCwZf00jhadr/336a5f512dd3a0d71ee4351018852562/Zmoto_ZM_150Galgo_M_xico.png?fit=pad&amp;fm=webp&amp;h=1200&amp;q=95&amp;w=1600","ZM 150 foto 4",0)</x:f>
      </x:c>
      <x:c r="F51" s="41" t="e">
        <x:f>HYPERLINK("https://zoommotos.mx/products/zmoto-zm150-azul","ABRIR FUENTE")</x:f>
      </x:c>
    </x:row>
    <x:row r="52" ht="32" customHeight="1">
      <x:c r="A52" s="22" t="str">
        <x:v>ÁNGULO</x:v>
      </x:c>
      <x:c r="B52" s="41" t="str">
        <x:v>Frontal 3/4</x:v>
      </x:c>
      <x:c r="C52" s="41" t="str">
        <x:v>Lateral</x:v>
      </x:c>
      <x:c r="D52" s="41" t="str">
        <x:v>Frontal 3/4 opuesto</x:v>
      </x:c>
      <x:c r="E52" s="41" t="str">
        <x:v>Frontal 3/4 color rojo</x:v>
      </x:c>
      <x:c r="F52" s="41" t="str">
        <x:v>APROBADA</x:v>
      </x:c>
    </x:row>
    <x:row r="53" ht="25" customHeight="1">
      <x:c r="A53" s="22" t="str">
        <x:v>DESCARGA</x:v>
      </x:c>
      <x:c r="B53" s="41" t="e">
        <x:f>HYPERLINK("https://zoommotos.mx/cdn/shop/files/banners-ZMOTO-ZM150-azul-1.jpg?v=1722463053&amp;width=1946","ABRIR FOTO 1")</x:f>
      </x:c>
      <x:c r="C53" s="41" t="e">
        <x:f>HYPERLINK("https://zoommotos.mx/cdn/shop/files/banners-ZMOTO-ZM150-azul-2.jpg?v=1722463053&amp;width=1946","ABRIR FOTO 2")</x:f>
      </x:c>
      <x:c r="D53" s="41" t="e">
        <x:f>HYPERLINK("https://zoommotos.mx/cdn/shop/files/banners-ZMOTO-ZM150-azul-7.jpg?v=1722463053&amp;width=1946","ABRIR FOTO 3")</x:f>
      </x:c>
      <x:c r="E53" s="41" t="e">
        <x:f>HYPERLINK("https://images.ctfassets.net/8zlbnewncp6f/1Bxhii1V1HDCwZf00jhadr/336a5f512dd3a0d71ee4351018852562/Zmoto_ZM_150Galgo_M_xico.png?fit=pad&amp;fm=webp&amp;h=1200&amp;q=95&amp;w=1600","ABRIR FOTO 4")</x:f>
      </x:c>
      <x:c r="F53" s="41" t="str">
        <x:v>Ver CONTROL_FOTOS para URL directa</x:v>
      </x:c>
    </x:row>
    <x:row r="55">
      <x:c r="A55" s="13" t="str">
        <x:v>11. ZMOTO CRX 150</x:v>
      </x:c>
      <x:c r="B55" s="13"/>
      <x:c r="C55" s="13"/>
      <x:c r="D55" s="13"/>
      <x:c r="E55" s="13"/>
      <x:c r="F55" s="13"/>
    </x:row>
    <x:row r="56" ht="165" customHeight="1">
      <x:c r="A56" s="22" t="str">
        <x:v>FOTOS</x:v>
      </x:c>
      <x:c r="B56" s="41" t="e">
        <x:f>IMAGE("https://www.zmoto.com.mx/web/image/product.template/18/image_1024/ZMOTO%20CRX150?unique=6d25439","CRX 150 foto 1",0)</x:f>
      </x:c>
      <x:c r="C56" s="41" t="e">
        <x:f>IMAGE("https://images.ctfassets.net/8zlbnewncp6f/15ZRk00gaN6dttAO93zbD1/bb1a838cf24720b371514dd045d87404/Moto_Zmoto_CRX_150_Galgo_M_xico.jpg?fit=pad&amp;fm=webp&amp;h=1200&amp;q=95&amp;w=1600","CRX 150 foto 2",0)</x:f>
      </x:c>
      <x:c r="D56" s="41" t="e">
        <x:f>IMAGE("https://images.ctfassets.net/8zlbnewncp6f/3Q3WWTVH7ATb2zYzG2OoxD/cbf7c95883c9eda2693b986f4c752dab/Moto_Zmoto_CRX_150_Galgo_M_xico_1.jpg?fit=pad&amp;fm=webp&amp;h=1200&amp;q=95&amp;w=1600","CRX 150 foto 3",0)</x:f>
      </x:c>
      <x:c r="E56" s="41" t="e">
        <x:f>IMAGE("https://images.ctfassets.net/8zlbnewncp6f/75OSrkIUoq877rXWZphs8i/4d7458f71237366e36a65314b6d884c4/Moto_Zmoto_CRX_150_Galgo_M_xico_4.jpg?fit=pad&amp;fm=webp&amp;h=1200&amp;q=95&amp;w=1600","CRX 150 foto 4",0)</x:f>
      </x:c>
      <x:c r="F56" s="41" t="e">
        <x:f>HYPERLINK("https://www.galgo.com/mx/motos/MX1331-zmoto-crx-150","ABRIR FUENTE")</x:f>
      </x:c>
    </x:row>
    <x:row r="57" ht="32" customHeight="1">
      <x:c r="A57" s="22" t="str">
        <x:v>ÁNGULO</x:v>
      </x:c>
      <x:c r="B57" s="41" t="str">
        <x:v>Frontal 3/4 verde</x:v>
      </x:c>
      <x:c r="C57" s="41" t="str">
        <x:v>Frontal 3/4 rojo</x:v>
      </x:c>
      <x:c r="D57" s="41" t="str">
        <x:v>Frontal</x:v>
      </x:c>
      <x:c r="E57" s="41" t="str">
        <x:v>Referencia lateral parcial</x:v>
      </x:c>
      <x:c r="F57" s="41" t="str">
        <x:v>APROBADA CON NOTA</x:v>
      </x:c>
    </x:row>
    <x:row r="58" ht="25" customHeight="1">
      <x:c r="A58" s="22" t="str">
        <x:v>DESCARGA</x:v>
      </x:c>
      <x:c r="B58" s="41" t="e">
        <x:f>HYPERLINK("https://www.zmoto.com.mx/web/image/product.template/18/image_1024/ZMOTO%20CRX150?unique=6d25439","ABRIR FOTO 1")</x:f>
      </x:c>
      <x:c r="C58" s="41" t="e">
        <x:f>HYPERLINK("https://images.ctfassets.net/8zlbnewncp6f/15ZRk00gaN6dttAO93zbD1/bb1a838cf24720b371514dd045d87404/Moto_Zmoto_CRX_150_Galgo_M_xico.jpg?fit=pad&amp;fm=webp&amp;h=1200&amp;q=95&amp;w=1600","ABRIR FOTO 2")</x:f>
      </x:c>
      <x:c r="D58" s="41" t="e">
        <x:f>HYPERLINK("https://images.ctfassets.net/8zlbnewncp6f/3Q3WWTVH7ATb2zYzG2OoxD/cbf7c95883c9eda2693b986f4c752dab/Moto_Zmoto_CRX_150_Galgo_M_xico_1.jpg?fit=pad&amp;fm=webp&amp;h=1200&amp;q=95&amp;w=1600","ABRIR FOTO 3")</x:f>
      </x:c>
      <x:c r="E58" s="41" t="e">
        <x:f>HYPERLINK("https://images.ctfassets.net/8zlbnewncp6f/75OSrkIUoq877rXWZphs8i/4d7458f71237366e36a65314b6d884c4/Moto_Zmoto_CRX_150_Galgo_M_xico_4.jpg?fit=pad&amp;fm=webp&amp;h=1200&amp;q=95&amp;w=1600","ABRIR FOTO 4")</x:f>
      </x:c>
      <x:c r="F58" s="41" t="str">
        <x:v>Ver CONTROL_FOTOS para URL directa</x:v>
      </x:c>
    </x:row>
    <x:row r="60">
      <x:c r="A60" s="13" t="str">
        <x:v>12. ZMOTO Maxx 125</x:v>
      </x:c>
      <x:c r="B60" s="13"/>
      <x:c r="C60" s="13"/>
      <x:c r="D60" s="13"/>
      <x:c r="E60" s="13"/>
      <x:c r="F60" s="13"/>
    </x:row>
    <x:row r="61" ht="165" customHeight="1">
      <x:c r="A61" s="22" t="str">
        <x:v>FOTOS</x:v>
      </x:c>
      <x:c r="B61" s="41" t="e">
        <x:f>IMAGE("https://www.zmoto.com.mx/web/image/product.image/15/image_1024/MAXX%20125?unique=290f9ac","Maxx 125 foto 1",0)</x:f>
      </x:c>
      <x:c r="C61" s="41" t="e">
        <x:f>IMAGE("https://www.zmoto.com.mx/web/image/product.image/16/image_1024/MAXX%20125?unique=290f9ac","Maxx 125 foto 2",0)</x:f>
      </x:c>
      <x:c r="D61" s="41" t="e">
        <x:f>IMAGE("https://images.ctfassets.net/8zlbnewncp6f/2X5iCuP5EMUGa6N6zs24d3/9cae7e8e68543e415ddd3c476f410f10/Moto_Zmoto_MAXX_125_Galgo_M_xico_1.jpg?fit=pad&amp;fm=webp&amp;h=1200&amp;q=95&amp;w=1600","Maxx 125 foto 3",0)</x:f>
      </x:c>
      <x:c r="E61" s="41" t="e">
        <x:f>IMAGE("https://images.ctfassets.net/8zlbnewncp6f/2myHNcpVKqyY3hiT55ypi8/dd2c9cb1409e80d5a8b43c9ab047f43d/Moto_Zmoto_MAXX_125_Galgo_M_xico.jpg?fit=pad&amp;fm=webp&amp;h=1200&amp;q=95&amp;w=1600","Maxx 125 foto 4",0)</x:f>
      </x:c>
      <x:c r="F61" s="41" t="e">
        <x:f>HYPERLINK("https://www.galgo.com/mx/motos/MX1332-zmoto-maxx-125-2023","ABRIR FUENTE")</x:f>
      </x:c>
    </x:row>
    <x:row r="62" ht="32" customHeight="1">
      <x:c r="A62" s="22" t="str">
        <x:v>ÁNGULO</x:v>
      </x:c>
      <x:c r="B62" s="41" t="str">
        <x:v>Frontal 3/4 azul</x:v>
      </x:c>
      <x:c r="C62" s="41" t="str">
        <x:v>Vista oficial 2</x:v>
      </x:c>
      <x:c r="D62" s="41" t="str">
        <x:v>Lateral rojo</x:v>
      </x:c>
      <x:c r="E62" s="41" t="str">
        <x:v>Frontal 3/4 gris</x:v>
      </x:c>
      <x:c r="F62" s="41" t="str">
        <x:v>REVISAR POTENCIA/CARGA</x:v>
      </x:c>
    </x:row>
    <x:row r="63" ht="25" customHeight="1">
      <x:c r="A63" s="22" t="str">
        <x:v>DESCARGA</x:v>
      </x:c>
      <x:c r="B63" s="41" t="e">
        <x:f>HYPERLINK("https://www.zmoto.com.mx/web/image/product.image/15/image_1024/MAXX%20125?unique=290f9ac","ABRIR FOTO 1")</x:f>
      </x:c>
      <x:c r="C63" s="41" t="e">
        <x:f>HYPERLINK("https://www.zmoto.com.mx/web/image/product.image/16/image_1024/MAXX%20125?unique=290f9ac","ABRIR FOTO 2")</x:f>
      </x:c>
      <x:c r="D63" s="41" t="e">
        <x:f>HYPERLINK("https://images.ctfassets.net/8zlbnewncp6f/2X5iCuP5EMUGa6N6zs24d3/9cae7e8e68543e415ddd3c476f410f10/Moto_Zmoto_MAXX_125_Galgo_M_xico_1.jpg?fit=pad&amp;fm=webp&amp;h=1200&amp;q=95&amp;w=1600","ABRIR FOTO 3")</x:f>
      </x:c>
      <x:c r="E63" s="41" t="e">
        <x:f>HYPERLINK("https://images.ctfassets.net/8zlbnewncp6f/2myHNcpVKqyY3hiT55ypi8/dd2c9cb1409e80d5a8b43c9ab047f43d/Moto_Zmoto_MAXX_125_Galgo_M_xico.jpg?fit=pad&amp;fm=webp&amp;h=1200&amp;q=95&amp;w=1600","ABRIR FOTO 4")</x:f>
      </x:c>
      <x:c r="F63" s="41" t="str">
        <x:v>Ver CONTROL_FOTOS para URL directa</x:v>
      </x:c>
    </x:row>
    <x:row r="65">
      <x:c r="A65" s="13" t="str">
        <x:v>13. ZMOTO CRX 300</x:v>
      </x:c>
      <x:c r="B65" s="13"/>
      <x:c r="C65" s="13"/>
      <x:c r="D65" s="13"/>
      <x:c r="E65" s="13"/>
      <x:c r="F65" s="13"/>
    </x:row>
    <x:row r="66" ht="165" customHeight="1">
      <x:c r="A66" s="22" t="str">
        <x:v>FOTOS</x:v>
      </x:c>
      <x:c r="B66" s="41" t="e">
        <x:f>IMAGE("https://images.ctfassets.net/8zlbnewncp6f/6pjHaD5TbJuViUhArK2bYX/ab9b7cc94ceec15a306a7a08ad714aaa/CRX300_Imagen_principal_Galgo_M_xico.jpg?fit=pad&amp;fm=webp&amp;h=1200&amp;q=95&amp;w=1600","CRX 300 foto 1",0)</x:f>
      </x:c>
      <x:c r="C66" s="41" t="e">
        <x:f>IMAGE("https://images.ctfassets.net/8zlbnewncp6f/ndd77KJBm4xRQuGEx8hpa/11f13af4da91ce76db4bf6ae24567f44/Zmoto_CRX300_2.jpg?fit=pad&amp;fm=webp&amp;h=1200&amp;q=95&amp;w=1600","CRX 300 foto 2",0)</x:f>
      </x:c>
      <x:c r="D66" s="41" t="e">
        <x:f>IMAGE("https://images.ctfassets.net/8zlbnewncp6f/7cgvHvxMw7vZ8As7PaskA3/be861391fa03d530c8ec99c6f42ff4dd/Zmoto_CRX300_3.jpg?fit=pad&amp;fm=webp&amp;h=1200&amp;q=95&amp;w=1600","CRX 300 foto 3",0)</x:f>
      </x:c>
      <x:c r="E66" s="41" t="e">
        <x:f>IMAGE("https://images.ctfassets.net/8zlbnewncp6f/6pjHaD5TbJuViUhArK2bYX/ab9b7cc94ceec15a306a7a08ad714aaa/CRX300_Imagen_principal_Galgo_M_xico.jpg?fit=pad&amp;fm=webp&amp;h=1200&amp;q=95&amp;w=1600","CRX 300 foto 4",0)</x:f>
      </x:c>
      <x:c r="F66" s="41" t="e">
        <x:f>HYPERLINK("https://www.galgo.com/mx/motos/MX2608-zmoto-crx-300","ABRIR FUENTE")</x:f>
      </x:c>
    </x:row>
    <x:row r="67" ht="32" customHeight="1">
      <x:c r="A67" s="22" t="str">
        <x:v>ÁNGULO</x:v>
      </x:c>
      <x:c r="B67" s="41" t="str">
        <x:v>Frontal 3/4 naranja</x:v>
      </x:c>
      <x:c r="C67" s="41" t="str">
        <x:v>Frontal 3/4 negro</x:v>
      </x:c>
      <x:c r="D67" s="41" t="str">
        <x:v>Lateral naranja</x:v>
      </x:c>
      <x:c r="E67" s="41" t="str">
        <x:v>Vista amplia</x:v>
      </x:c>
      <x:c r="F67" s="41" t="str">
        <x:v>APROBADA CON NOTA</x:v>
      </x:c>
    </x:row>
    <x:row r="68" ht="25" customHeight="1">
      <x:c r="A68" s="22" t="str">
        <x:v>DESCARGA</x:v>
      </x:c>
      <x:c r="B68" s="41" t="e">
        <x:f>HYPERLINK("https://images.ctfassets.net/8zlbnewncp6f/6pjHaD5TbJuViUhArK2bYX/ab9b7cc94ceec15a306a7a08ad714aaa/CRX300_Imagen_principal_Galgo_M_xico.jpg?fit=pad&amp;fm=webp&amp;h=1200&amp;q=95&amp;w=1600","ABRIR FOTO 1")</x:f>
      </x:c>
      <x:c r="C68" s="41" t="e">
        <x:f>HYPERLINK("https://images.ctfassets.net/8zlbnewncp6f/ndd77KJBm4xRQuGEx8hpa/11f13af4da91ce76db4bf6ae24567f44/Zmoto_CRX300_2.jpg?fit=pad&amp;fm=webp&amp;h=1200&amp;q=95&amp;w=1600","ABRIR FOTO 2")</x:f>
      </x:c>
      <x:c r="D68" s="41" t="e">
        <x:f>HYPERLINK("https://images.ctfassets.net/8zlbnewncp6f/7cgvHvxMw7vZ8As7PaskA3/be861391fa03d530c8ec99c6f42ff4dd/Zmoto_CRX300_3.jpg?fit=pad&amp;fm=webp&amp;h=1200&amp;q=95&amp;w=1600","ABRIR FOTO 3")</x:f>
      </x:c>
      <x:c r="E68" s="41" t="e">
        <x:f>HYPERLINK("https://images.ctfassets.net/8zlbnewncp6f/6pjHaD5TbJuViUhArK2bYX/ab9b7cc94ceec15a306a7a08ad714aaa/CRX300_Imagen_principal_Galgo_M_xico.jpg?fit=pad&amp;fm=webp&amp;h=1200&amp;q=95&amp;w=1600","ABRIR FOTO 4")</x:f>
      </x:c>
      <x:c r="F68" s="41" t="str">
        <x:v>Ver CONTROL_FOTOS para URL directa</x:v>
      </x:c>
    </x:row>
    <x:row r="70">
      <x:c r="A70" s="13" t="str">
        <x:v>14. ZMOTO CRX 200</x:v>
      </x:c>
      <x:c r="B70" s="13"/>
      <x:c r="C70" s="13"/>
      <x:c r="D70" s="13"/>
      <x:c r="E70" s="13"/>
      <x:c r="F70" s="13"/>
    </x:row>
    <x:row r="71" ht="165" customHeight="1">
      <x:c r="A71" s="22" t="str">
        <x:v>FOTOS</x:v>
      </x:c>
      <x:c r="B71" s="41" t="e">
        <x:f>IMAGE("https://images.ctfassets.net/8zlbnewncp6f/3aswqwWq9QeZz1RZjdRPwo/481e4b2558518b6b7d5768a8011e55a2/CRX_200_Imagen_principal_Galgo_M_xico.png?fit=pad&amp;fm=webp&amp;h=1200&amp;q=95&amp;w=1600","CRX 200 foto 1",0)</x:f>
      </x:c>
      <x:c r="C71" s="41" t="e">
        <x:f>IMAGE("https://images.ctfassets.net/8zlbnewncp6f/4JeM6rp6so1XduMhMuy2fn/4adc9ff07a17942090e0e6cdf067ac73/CRX_200_3.jpg?fit=pad&amp;fm=webp&amp;h=1200&amp;q=95&amp;w=1600","CRX 200 foto 2",0)</x:f>
      </x:c>
      <x:c r="D71" s="41" t="e">
        <x:f>IMAGE("https://images.ctfassets.net/8zlbnewncp6f/6Npwd4wJUjRLLAbbqvFc3t/1dee94d6583fa631be361013c789c963/CRX_200_2.jpg?fit=pad&amp;fm=webp&amp;h=1200&amp;q=95&amp;w=1600","CRX 200 foto 3",0)</x:f>
      </x:c>
      <x:c r="E71" s="41" t="e">
        <x:f>IMAGE("https://images.ctfassets.net/8zlbnewncp6f/2JpxhvN6sSUnsBMXU1oZ4c/7171189bf7a223e051c15474134ac679/CRX_200_.jpg?fit=pad&amp;fm=webp&amp;h=1200&amp;q=95&amp;w=1600","CRX 200 foto 4",0)</x:f>
      </x:c>
      <x:c r="F71" s="41" t="e">
        <x:f>HYPERLINK("https://www.galgo.com/mx/motos/MX2609-zmoto-crx-200","ABRIR FUENTE")</x:f>
      </x:c>
    </x:row>
    <x:row r="72" ht="32" customHeight="1">
      <x:c r="A72" s="22" t="str">
        <x:v>ÁNGULO</x:v>
      </x:c>
      <x:c r="B72" s="41" t="str">
        <x:v>Frontal 3/4</x:v>
      </x:c>
      <x:c r="C72" s="41" t="str">
        <x:v>Frontal 3/4 opuesto</x:v>
      </x:c>
      <x:c r="D72" s="41" t="str">
        <x:v>Lateral 3/4</x:v>
      </x:c>
      <x:c r="E72" s="41" t="str">
        <x:v>Lateral</x:v>
      </x:c>
      <x:c r="F72" s="41" t="str">
        <x:v>APROBADA</x:v>
      </x:c>
    </x:row>
    <x:row r="73" ht="25" customHeight="1">
      <x:c r="A73" s="22" t="str">
        <x:v>DESCARGA</x:v>
      </x:c>
      <x:c r="B73" s="41" t="e">
        <x:f>HYPERLINK("https://images.ctfassets.net/8zlbnewncp6f/3aswqwWq9QeZz1RZjdRPwo/481e4b2558518b6b7d5768a8011e55a2/CRX_200_Imagen_principal_Galgo_M_xico.png?fit=pad&amp;fm=webp&amp;h=1200&amp;q=95&amp;w=1600","ABRIR FOTO 1")</x:f>
      </x:c>
      <x:c r="C73" s="41" t="e">
        <x:f>HYPERLINK("https://images.ctfassets.net/8zlbnewncp6f/4JeM6rp6so1XduMhMuy2fn/4adc9ff07a17942090e0e6cdf067ac73/CRX_200_3.jpg?fit=pad&amp;fm=webp&amp;h=1200&amp;q=95&amp;w=1600","ABRIR FOTO 2")</x:f>
      </x:c>
      <x:c r="D73" s="41" t="e">
        <x:f>HYPERLINK("https://images.ctfassets.net/8zlbnewncp6f/6Npwd4wJUjRLLAbbqvFc3t/1dee94d6583fa631be361013c789c963/CRX_200_2.jpg?fit=pad&amp;fm=webp&amp;h=1200&amp;q=95&amp;w=1600","ABRIR FOTO 3")</x:f>
      </x:c>
      <x:c r="E73" s="41" t="e">
        <x:f>HYPERLINK("https://images.ctfassets.net/8zlbnewncp6f/2JpxhvN6sSUnsBMXU1oZ4c/7171189bf7a223e051c15474134ac679/CRX_200_.jpg?fit=pad&amp;fm=webp&amp;h=1200&amp;q=95&amp;w=1600","ABRIR FOTO 4")</x:f>
      </x:c>
      <x:c r="F73" s="41" t="str">
        <x:v>Ver CONTROL_FOTOS para URL directa</x:v>
      </x:c>
    </x:row>
    <x:row r="75">
      <x:c r="A75" s="13" t="str">
        <x:v>15. ZMOTO 300 Pro</x:v>
      </x:c>
      <x:c r="B75" s="13"/>
      <x:c r="C75" s="13"/>
      <x:c r="D75" s="13"/>
      <x:c r="E75" s="13"/>
      <x:c r="F75" s="13"/>
    </x:row>
    <x:row r="76" ht="165" customHeight="1">
      <x:c r="A76" s="22" t="str">
        <x:v>FOTOS</x:v>
      </x:c>
      <x:c r="B76" s="41" t="e">
        <x:f>IMAGE("https://www.zmoto.com.mx/web/image/product.template/16/image_1024/ZMOTO%20300PRO-SPORT?unique=2c185c9","300 Pro foto 1",0)</x:f>
      </x:c>
      <x:c r="C76" s="41" t="e">
        <x:f>IMAGE("https://www.zmoto.com.mx/web/image/product.image/1/image_1024/300%20PRO?unique=08ac2b5","300 Pro foto 2",0)</x:f>
      </x:c>
      <x:c r="D76" s="41" t="e">
        <x:f>IMAGE("https://www.zmoto.com.mx/web/image/product.image/2/image_1024/300%20PRO?unique=08ac2b5","300 Pro foto 3",0)</x:f>
      </x:c>
      <x:c r="E76" s="41" t="e">
        <x:f>IMAGE("https://images.ctfassets.net/8zlbnewncp6f/2XucOtyLy9Sh5sZ1m7NoM8/450a08254b6c9c8af3cea3da86587d4c/Zmoto_300_Pro_Lifestyle1_Galgo.png?fm=webp&amp;q=100&amp;w=1600","300 Pro foto 4",0)</x:f>
      </x:c>
      <x:c r="F76" s="41" t="e">
        <x:f>HYPERLINK("https://www.galgo.com/mx/motos/MX2607-zmoto-300-pro","ABRIR FUENTE")</x:f>
      </x:c>
    </x:row>
    <x:row r="77" ht="32" customHeight="1">
      <x:c r="A77" s="22" t="str">
        <x:v>ÁNGULO</x:v>
      </x:c>
      <x:c r="B77" s="41" t="str">
        <x:v>Vista oficial principal</x:v>
      </x:c>
      <x:c r="C77" s="41" t="str">
        <x:v>Vista oficial 2</x:v>
      </x:c>
      <x:c r="D77" s="41" t="str">
        <x:v>Vista oficial 3</x:v>
      </x:c>
      <x:c r="E77" s="41" t="str">
        <x:v>Acción frontal</x:v>
      </x:c>
      <x:c r="F77" s="41" t="str">
        <x:v>REVISAR TORQUE/TRANSMISIÓN</x:v>
      </x:c>
    </x:row>
    <x:row r="78" ht="25" customHeight="1">
      <x:c r="A78" s="22" t="str">
        <x:v>DESCARGA</x:v>
      </x:c>
      <x:c r="B78" s="41" t="e">
        <x:f>HYPERLINK("https://www.zmoto.com.mx/web/image/product.template/16/image_1024/ZMOTO%20300PRO-SPORT?unique=2c185c9","ABRIR FOTO 1")</x:f>
      </x:c>
      <x:c r="C78" s="41" t="e">
        <x:f>HYPERLINK("https://www.zmoto.com.mx/web/image/product.image/1/image_1024/300%20PRO?unique=08ac2b5","ABRIR FOTO 2")</x:f>
      </x:c>
      <x:c r="D78" s="41" t="e">
        <x:f>HYPERLINK("https://www.zmoto.com.mx/web/image/product.image/2/image_1024/300%20PRO?unique=08ac2b5","ABRIR FOTO 3")</x:f>
      </x:c>
      <x:c r="E78" s="41" t="e">
        <x:f>HYPERLINK("https://images.ctfassets.net/8zlbnewncp6f/2XucOtyLy9Sh5sZ1m7NoM8/450a08254b6c9c8af3cea3da86587d4c/Zmoto_300_Pro_Lifestyle1_Galgo.png?fm=webp&amp;q=100&amp;w=1600","ABRIR FOTO 4")</x:f>
      </x:c>
      <x:c r="F78" s="41" t="str">
        <x:v>Ver CONTROL_FOTOS para URL directa</x:v>
      </x:c>
    </x:row>
    <x:row r="80">
      <x:c r="A80" s="13" t="str">
        <x:v>16. ZMOTO Aktiva 150</x:v>
      </x:c>
      <x:c r="B80" s="13"/>
      <x:c r="C80" s="13"/>
      <x:c r="D80" s="13"/>
      <x:c r="E80" s="13"/>
      <x:c r="F80" s="13"/>
    </x:row>
    <x:row r="81" ht="165" customHeight="1">
      <x:c r="A81" s="22" t="str">
        <x:v>FOTOS</x:v>
      </x:c>
      <x:c r="B81" s="41" t="e">
        <x:f>IMAGE("https://images.ctfassets.net/8zlbnewncp6f/6adRWAcxZ3sub2kAv3xbIQ/4a67d43a31e6d9fe372c6c3b475272ba/AKTIVA150_Imagen_principal_Galgo_M_xico.png?fit=pad&amp;fm=webp&amp;h=1200&amp;q=95&amp;w=1600","Aktiva 150 foto 1",0)</x:f>
      </x:c>
      <x:c r="C81" s="41" t="e">
        <x:f>IMAGE("https://images.ctfassets.net/8zlbnewncp6f/57xTA1pkKJUqMIYz2ub0xI/b60fca46343ae2f1b32847e56c630117/Imagen_principal.png?fit=pad&amp;fm=webp&amp;h=1200&amp;q=95&amp;w=1600","Aktiva 150 foto 2",0)</x:f>
      </x:c>
      <x:c r="D81" s="41" t="e">
        <x:f>IMAGE("https://images.ctfassets.net/8zlbnewncp6f/307MYotruKqtRzCn6lZv6X/eefc3bffddcf574460f8fb74d5d1360f/Galeria2.png?fit=pad&amp;fm=webp&amp;h=1200&amp;q=95&amp;w=1600","Aktiva 150 foto 3",0)</x:f>
      </x:c>
      <x:c r="E81" s="41" t="e">
        <x:f>IMAGE("https://images.ctfassets.net/8zlbnewncp6f/7aMskOUlIsbXozKK0McJzc/524d9ba196830852d070b6b6515c0f20/Galeria2.png?fit=pad&amp;fm=webp&amp;h=1200&amp;q=95&amp;w=1600","Aktiva 150 foto 4",0)</x:f>
      </x:c>
      <x:c r="F81" s="41" t="e">
        <x:f>HYPERLINK("https://www.galgo.com/mx/motos/MX2611-zmoto-aktiva-150","ABRIR FUENTE")</x:f>
      </x:c>
    </x:row>
    <x:row r="82" ht="32" customHeight="1">
      <x:c r="A82" s="22" t="str">
        <x:v>ÁNGULO</x:v>
      </x:c>
      <x:c r="B82" s="41" t="str">
        <x:v>Frontal 3/4</x:v>
      </x:c>
      <x:c r="C82" s="41" t="str">
        <x:v>Lateral 3/4</x:v>
      </x:c>
      <x:c r="D82" s="41" t="str">
        <x:v>Trasera 3/4 izquierda</x:v>
      </x:c>
      <x:c r="E82" s="41" t="str">
        <x:v>Trasera 3/4 derecha</x:v>
      </x:c>
      <x:c r="F82" s="41" t="str">
        <x:v>APROBADA</x:v>
      </x:c>
    </x:row>
    <x:row r="83" ht="25" customHeight="1">
      <x:c r="A83" s="22" t="str">
        <x:v>DESCARGA</x:v>
      </x:c>
      <x:c r="B83" s="41" t="e">
        <x:f>HYPERLINK("https://images.ctfassets.net/8zlbnewncp6f/6adRWAcxZ3sub2kAv3xbIQ/4a67d43a31e6d9fe372c6c3b475272ba/AKTIVA150_Imagen_principal_Galgo_M_xico.png?fit=pad&amp;fm=webp&amp;h=1200&amp;q=95&amp;w=1600","ABRIR FOTO 1")</x:f>
      </x:c>
      <x:c r="C83" s="41" t="e">
        <x:f>HYPERLINK("https://images.ctfassets.net/8zlbnewncp6f/57xTA1pkKJUqMIYz2ub0xI/b60fca46343ae2f1b32847e56c630117/Imagen_principal.png?fit=pad&amp;fm=webp&amp;h=1200&amp;q=95&amp;w=1600","ABRIR FOTO 2")</x:f>
      </x:c>
      <x:c r="D83" s="41" t="e">
        <x:f>HYPERLINK("https://images.ctfassets.net/8zlbnewncp6f/307MYotruKqtRzCn6lZv6X/eefc3bffddcf574460f8fb74d5d1360f/Galeria2.png?fit=pad&amp;fm=webp&amp;h=1200&amp;q=95&amp;w=1600","ABRIR FOTO 3")</x:f>
      </x:c>
      <x:c r="E83" s="41" t="e">
        <x:f>HYPERLINK("https://images.ctfassets.net/8zlbnewncp6f/7aMskOUlIsbXozKK0McJzc/524d9ba196830852d070b6b6515c0f20/Galeria2.png?fit=pad&amp;fm=webp&amp;h=1200&amp;q=95&amp;w=1600","ABRIR FOTO 4")</x:f>
      </x:c>
      <x:c r="F83" s="41" t="str">
        <x:v>Ver CONTROL_FOTOS para URL directa</x:v>
      </x:c>
    </x:row>
    <x:row r="85">
      <x:c r="A85" s="13" t="str">
        <x:v>17. ZMOTO Rapid 150</x:v>
      </x:c>
      <x:c r="B85" s="13"/>
      <x:c r="C85" s="13"/>
      <x:c r="D85" s="13"/>
      <x:c r="E85" s="13"/>
      <x:c r="F85" s="13"/>
    </x:row>
    <x:row r="86" ht="165" customHeight="1">
      <x:c r="A86" s="22" t="str">
        <x:v>FOTOS</x:v>
      </x:c>
      <x:c r="B86" s="41" t="e">
        <x:f>IMAGE("https://images.ctfassets.net/8zlbnewncp6f/5TYgWLuQ75seD5n9THFLL1/1203c7a4f84b00f55bcf2dd020ca4b80/ZMoto_Rapid_150_2025_Imagen_principal_Galgo_M%C3%A9xico.png?fit=pad&amp;fm=webp&amp;h=1200&amp;q=95&amp;w=1600","Rapid 150 foto 1",0)</x:f>
      </x:c>
      <x:c r="C86" s="41" t="e">
        <x:f>IMAGE("https://images.ctfassets.net/8zlbnewncp6f/O3WZAFadj2yUBWQB1jOTP/603f5e6f3ae3491a99b9d20eafde5e60/ZMoto_Rapid_150_2025_Galeria1_Galgo_M%C3%A9xico.png?fit=pad&amp;fm=webp&amp;h=1200&amp;q=95&amp;w=1600","Rapid 150 foto 2",0)</x:f>
      </x:c>
      <x:c r="D86" s="41" t="e">
        <x:f>IMAGE("https://images.ctfassets.net/8zlbnewncp6f/5oLm68ibfA76rEw3EmDf7n/cba3b4cdb94a881315053023c734a54a/Zmoto_Rapid_150_Lifestyle1_Galgo.png?fm=webp&amp;q=100&amp;w=1600","Rapid 150 foto 3",0)</x:f>
      </x:c>
      <x:c r="E86" s="41" t="e">
        <x:f>IMAGE("https://images.ctfassets.net/8zlbnewncp6f/5wOjwTKPvYxaTzxqVuzQg/fdc400df6acdb5f5b3c878505357024d/Zmoto_Rapid_150_Lifestyle2_Galgo.png?fm=webp&amp;q=100&amp;w=1600","Rapid 150 foto 4",0)</x:f>
      </x:c>
      <x:c r="F86" s="41" t="e">
        <x:f>HYPERLINK("https://www.galgo.com/mx/motos/MX2685-zmoto-rapid-150","ABRIR FUENTE")</x:f>
      </x:c>
    </x:row>
    <x:row r="87" ht="32" customHeight="1">
      <x:c r="A87" s="22" t="str">
        <x:v>ÁNGULO</x:v>
      </x:c>
      <x:c r="B87" s="41" t="str">
        <x:v>Frontal 3/4 azul</x:v>
      </x:c>
      <x:c r="C87" s="41" t="str">
        <x:v>Frontal 3/4 negro</x:v>
      </x:c>
      <x:c r="D87" s="41" t="str">
        <x:v>Rodando frontal</x:v>
      </x:c>
      <x:c r="E87" s="41" t="str">
        <x:v>Lateral</x:v>
      </x:c>
      <x:c r="F87" s="41" t="str">
        <x:v>APROBADA CON NOTA</x:v>
      </x:c>
    </x:row>
    <x:row r="88" ht="25" customHeight="1">
      <x:c r="A88" s="22" t="str">
        <x:v>DESCARGA</x:v>
      </x:c>
      <x:c r="B88" s="41" t="e">
        <x:f>HYPERLINK("https://images.ctfassets.net/8zlbnewncp6f/5TYgWLuQ75seD5n9THFLL1/1203c7a4f84b00f55bcf2dd020ca4b80/ZMoto_Rapid_150_2025_Imagen_principal_Galgo_M%C3%A9xico.png?fit=pad&amp;fm=webp&amp;h=1200&amp;q=95&amp;w=1600","ABRIR FOTO 1")</x:f>
      </x:c>
      <x:c r="C88" s="41" t="e">
        <x:f>HYPERLINK("https://images.ctfassets.net/8zlbnewncp6f/O3WZAFadj2yUBWQB1jOTP/603f5e6f3ae3491a99b9d20eafde5e60/ZMoto_Rapid_150_2025_Galeria1_Galgo_M%C3%A9xico.png?fit=pad&amp;fm=webp&amp;h=1200&amp;q=95&amp;w=1600","ABRIR FOTO 2")</x:f>
      </x:c>
      <x:c r="D88" s="41" t="e">
        <x:f>HYPERLINK("https://images.ctfassets.net/8zlbnewncp6f/5oLm68ibfA76rEw3EmDf7n/cba3b4cdb94a881315053023c734a54a/Zmoto_Rapid_150_Lifestyle1_Galgo.png?fm=webp&amp;q=100&amp;w=1600","ABRIR FOTO 3")</x:f>
      </x:c>
      <x:c r="E88" s="41" t="e">
        <x:f>HYPERLINK("https://images.ctfassets.net/8zlbnewncp6f/5wOjwTKPvYxaTzxqVuzQg/fdc400df6acdb5f5b3c878505357024d/Zmoto_Rapid_150_Lifestyle2_Galgo.png?fm=webp&amp;q=100&amp;w=1600","ABRIR FOTO 4")</x:f>
      </x:c>
      <x:c r="F88" s="41" t="str">
        <x:v>Ver CONTROL_FOTOS para URL directa</x:v>
      </x:c>
    </x:row>
  </x:sheetData>
  <x:mergeCells>
    <x:mergeCell ref="A1:F2"/>
    <x:mergeCell ref="A3:F3"/>
    <x:mergeCell ref="A5:F5"/>
    <x:mergeCell ref="A10:F10"/>
    <x:mergeCell ref="A15:F15"/>
    <x:mergeCell ref="A20:F20"/>
    <x:mergeCell ref="A25:F25"/>
    <x:mergeCell ref="A30:F30"/>
    <x:mergeCell ref="A35:F35"/>
    <x:mergeCell ref="A40:F40"/>
    <x:mergeCell ref="A45:F45"/>
    <x:mergeCell ref="A50:F50"/>
    <x:mergeCell ref="A55:F55"/>
    <x:mergeCell ref="A60:F60"/>
    <x:mergeCell ref="A65:F65"/>
    <x:mergeCell ref="A70:F70"/>
    <x:mergeCell ref="A75:F75"/>
    <x:mergeCell ref="A80:F80"/>
    <x:mergeCell ref="A85:F8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8" hidden="0" customWidth="1"/>
    <x:col min="4" max="4" width="28" hidden="0" customWidth="1"/>
    <x:col min="5" max="5" width="70" hidden="0" customWidth="1"/>
    <x:col min="6" max="6" width="55" hidden="0" customWidth="1"/>
    <x:col min="7" max="7" width="16" hidden="0" customWidth="1"/>
    <x:col min="8" max="8" width="52" hidden="0" customWidth="1"/>
  </x:cols>
  <x:sheetData>
    <x:row r="1" ht="30" customHeight="1">
      <x:c r="A1" s="22" t="str">
        <x:v>No.</x:v>
      </x:c>
      <x:c r="B1" s="22" t="str">
        <x:v>Modelo</x:v>
      </x:c>
      <x:c r="C1" s="22" t="str">
        <x:v>Foto</x:v>
      </x:c>
      <x:c r="D1" s="22" t="str">
        <x:v>Ángulo / toma</x:v>
      </x:c>
      <x:c r="E1" s="22" t="str">
        <x:v>URL alta resolución</x:v>
      </x:c>
      <x:c r="F1" s="22" t="str">
        <x:v>Página fuente</x:v>
      </x:c>
      <x:c r="G1" s="22" t="str">
        <x:v>Estatus</x:v>
      </x:c>
      <x:c r="H1" s="22" t="str">
        <x:v>Observación</x:v>
      </x:c>
    </x:row>
    <x:row r="2" ht="38" customHeight="1">
      <x:c r="A2" s="41" t="n">
        <x:v>1</x:v>
      </x:c>
      <x:c r="B2" s="41" t="str">
        <x:v>Runga Pasajeros</x:v>
      </x:c>
      <x:c r="C2" s="41" t="n">
        <x:v>1</x:v>
      </x:c>
      <x:c r="D2" s="30" t="str">
        <x:v>Frontal 3/4</x:v>
      </x:c>
      <x:c r="E2" s="30" t="str">
        <x:v>https://www.zmoto.com.mx/web/image/product.product/47/image_1024/ZMOTO%20RUNGA250P%20%28Rojo%29?unique=734f61a</x:v>
      </x:c>
      <x:c r="F2" s="30" t="str">
        <x:v>https://www.zmoto.com.mx/shop/zmoto-runga250p-23</x:v>
      </x:c>
      <x:c r="G2" s="41" t="str">
        <x:v>APROBADA</x:v>
      </x:c>
      <x:c r="H2" s="30" t="str">
        <x:v>Vehículo completo y ángulo diferente.</x:v>
      </x:c>
    </x:row>
    <x:row r="3" ht="38" customHeight="1">
      <x:c r="A3" s="41" t="n">
        <x:v>2</x:v>
      </x:c>
      <x:c r="B3" s="41" t="str">
        <x:v>Runga Pasajeros</x:v>
      </x:c>
      <x:c r="C3" s="41" t="n">
        <x:v>2</x:v>
      </x:c>
      <x:c r="D3" s="30" t="str">
        <x:v>Lateral</x:v>
      </x:c>
      <x:c r="E3" s="30" t="str">
        <x:v>https://www.zmoto.com.mx/web/image/product.image/62/image_1024/RUNGA%20PASAJ%20RJ%20LATERAL.webp?unique=c786f24</x:v>
      </x:c>
      <x:c r="F3" s="30" t="str">
        <x:v>https://www.zmoto.com.mx/shop/zmoto-runga250p-23</x:v>
      </x:c>
      <x:c r="G3" s="41" t="str">
        <x:v>APROBADA</x:v>
      </x:c>
      <x:c r="H3" s="30" t="str">
        <x:v>Vehículo completo y ángulo diferente.</x:v>
      </x:c>
    </x:row>
    <x:row r="4" ht="38" customHeight="1">
      <x:c r="A4" s="41" t="n">
        <x:v>3</x:v>
      </x:c>
      <x:c r="B4" s="41" t="str">
        <x:v>Runga Pasajeros</x:v>
      </x:c>
      <x:c r="C4" s="41" t="n">
        <x:v>3</x:v>
      </x:c>
      <x:c r="D4" s="30" t="str">
        <x:v>Trasera</x:v>
      </x:c>
      <x:c r="E4" s="30" t="str">
        <x:v>https://www.zmoto.com.mx/web/image/product.image/64/image_1024/RUNGA%20PASAJ%20RJ%20BACK.webp?unique=c786f24</x:v>
      </x:c>
      <x:c r="F4" s="30" t="str">
        <x:v>https://www.zmoto.com.mx/shop/zmoto-runga250p-23</x:v>
      </x:c>
      <x:c r="G4" s="41" t="str">
        <x:v>APROBADA</x:v>
      </x:c>
      <x:c r="H4" s="30" t="str">
        <x:v>Vehículo completo y ángulo diferente.</x:v>
      </x:c>
    </x:row>
    <x:row r="5" ht="38" customHeight="1">
      <x:c r="A5" s="41" t="n">
        <x:v>4</x:v>
      </x:c>
      <x:c r="B5" s="41" t="str">
        <x:v>Runga Pasajeros</x:v>
      </x:c>
      <x:c r="C5" s="41" t="n">
        <x:v>4</x:v>
      </x:c>
      <x:c r="D5" s="30" t="str">
        <x:v>Frontal</x:v>
      </x:c>
      <x:c r="E5" s="30" t="str">
        <x:v>https://www.zmoto.com.mx/web/image/product.image/65/image_1024/RUNGA%20PASAJ%20RJ%20FRONT.webp?unique=c786f24</x:v>
      </x:c>
      <x:c r="F5" s="30" t="str">
        <x:v>https://www.zmoto.com.mx/shop/zmoto-runga250p-23</x:v>
      </x:c>
      <x:c r="G5" s="41" t="str">
        <x:v>APROBADA</x:v>
      </x:c>
      <x:c r="H5" s="30" t="str">
        <x:v>Vehículo completo y ángulo diferente.</x:v>
      </x:c>
    </x:row>
    <x:row r="6" ht="38" customHeight="1">
      <x:c r="A6" s="41" t="n">
        <x:v>5</x:v>
      </x:c>
      <x:c r="B6" s="41" t="str">
        <x:v>Runga 320Z</x:v>
      </x:c>
      <x:c r="C6" s="41" t="n">
        <x:v>1</x:v>
      </x:c>
      <x:c r="D6" s="30" t="str">
        <x:v>Frontal 3/4 con cabina</x:v>
      </x:c>
      <x:c r="E6" s="30" t="str">
        <x:v>https://www.zmoto.com.mx/web/image/product.product/45/image_1024/ZMOTO%20RUNGA320Z%20%28Rojo%29?unique=734f61a</x:v>
      </x:c>
      <x:c r="F6" s="30" t="str">
        <x:v>https://www.galgo.com/mx/motos/MX1327-zmoto-runga-320z</x:v>
      </x:c>
      <x:c r="G6" s="41" t="str">
        <x:v>APROBADA</x:v>
      </x:c>
      <x:c r="H6" s="30" t="str">
        <x:v>Vehículo completo y ángulo diferente.</x:v>
      </x:c>
    </x:row>
    <x:row r="7" ht="38" customHeight="1">
      <x:c r="A7" s="41" t="n">
        <x:v>6</x:v>
      </x:c>
      <x:c r="B7" s="41" t="str">
        <x:v>Runga 320Z</x:v>
      </x:c>
      <x:c r="C7" s="41" t="n">
        <x:v>2</x:v>
      </x:c>
      <x:c r="D7" s="30" t="str">
        <x:v>Trasera</x:v>
      </x:c>
      <x:c r="E7" s="30" t="str">
        <x:v>https://www.zmoto.com.mx/web/image/product.image/76/image_1024/image_1920?unique=94b6f9e</x:v>
      </x:c>
      <x:c r="F7" s="30" t="str">
        <x:v>https://www.galgo.com/mx/motos/MX1327-zmoto-runga-320z</x:v>
      </x:c>
      <x:c r="G7" s="41" t="str">
        <x:v>APROBADA</x:v>
      </x:c>
      <x:c r="H7" s="30" t="str">
        <x:v>Vehículo completo y ángulo diferente.</x:v>
      </x:c>
    </x:row>
    <x:row r="8" ht="38" customHeight="1">
      <x:c r="A8" s="41" t="n">
        <x:v>7</x:v>
      </x:c>
      <x:c r="B8" s="41" t="str">
        <x:v>Runga 320Z</x:v>
      </x:c>
      <x:c r="C8" s="41" t="n">
        <x:v>3</x:v>
      </x:c>
      <x:c r="D8" s="30" t="str">
        <x:v>Lateral</x:v>
      </x:c>
      <x:c r="E8" s="30" t="str">
        <x:v>https://images.ctfassets.net/8zlbnewncp6f/2Rf3YLB91lzrf23Ubv2AFg/74074df6a9ccf6ae1630a02e0be44d2e/Moto_Zmoto_Runga_320Z_Galgo_M_xico.jpg?fit=pad&amp;fm=webp&amp;h=1200&amp;q=95&amp;w=1600</x:v>
      </x:c>
      <x:c r="F8" s="30" t="str">
        <x:v>https://www.galgo.com/mx/motos/MX1327-zmoto-runga-320z</x:v>
      </x:c>
      <x:c r="G8" s="41" t="str">
        <x:v>APROBADA</x:v>
      </x:c>
      <x:c r="H8" s="30" t="str">
        <x:v>Vehículo completo y ángulo diferente.</x:v>
      </x:c>
    </x:row>
    <x:row r="9" ht="38" customHeight="1">
      <x:c r="A9" s="41" t="n">
        <x:v>8</x:v>
      </x:c>
      <x:c r="B9" s="41" t="str">
        <x:v>Runga 320Z</x:v>
      </x:c>
      <x:c r="C9" s="41" t="n">
        <x:v>4</x:v>
      </x:c>
      <x:c r="D9" s="30" t="str">
        <x:v>Rodando 3/4</x:v>
      </x:c>
      <x:c r="E9" s="30" t="str">
        <x:v>https://images.ctfassets.net/8zlbnewncp6f/VIls4A8g92qxYhywLG4mr/32529cda998ee3e8039c7eb58dae448b/Zmoto_Runga_320Z_Lifestyle1_Galgo.jpg?fm=webp&amp;q=100&amp;w=1600</x:v>
      </x:c>
      <x:c r="F9" s="30" t="str">
        <x:v>https://www.galgo.com/mx/motos/MX1327-zmoto-runga-320z</x:v>
      </x:c>
      <x:c r="G9" s="41" t="str">
        <x:v>APROBADA</x:v>
      </x:c>
      <x:c r="H9" s="30" t="str">
        <x:v>Vehículo completo y ángulo diferente.</x:v>
      </x:c>
    </x:row>
    <x:row r="10" ht="38" customHeight="1">
      <x:c r="A10" s="41" t="n">
        <x:v>9</x:v>
      </x:c>
      <x:c r="B10" s="41" t="str">
        <x:v>Runga 250Z</x:v>
      </x:c>
      <x:c r="C10" s="41" t="n">
        <x:v>1</x:v>
      </x:c>
      <x:c r="D10" s="30" t="str">
        <x:v>Frontal 3/4 cabina</x:v>
      </x:c>
      <x:c r="E10" s="30" t="str">
        <x:v>https://images.ctfassets.net/8zlbnewncp6f/658THtxTZatZ2ny0cgOKgt/c553acd4f6a234a1133a81995505d30d/Imagen_principal__6_.png?fit=pad&amp;fm=webp&amp;h=1200&amp;q=95&amp;w=1600</x:v>
      </x:c>
      <x:c r="F10" s="30" t="str">
        <x:v>https://www.galgo.com/mx/motos/MX1329-zmoto-runga-250-con-cabina</x:v>
      </x:c>
      <x:c r="G10" s="41" t="str">
        <x:v>APROBADA</x:v>
      </x:c>
      <x:c r="H10" s="30" t="str">
        <x:v>Vehículo completo y ángulo diferente.</x:v>
      </x:c>
    </x:row>
    <x:row r="11" ht="38" customHeight="1">
      <x:c r="A11" s="41" t="n">
        <x:v>10</x:v>
      </x:c>
      <x:c r="B11" s="41" t="str">
        <x:v>Runga 250Z</x:v>
      </x:c>
      <x:c r="C11" s="41" t="n">
        <x:v>2</x:v>
      </x:c>
      <x:c r="D11" s="30" t="str">
        <x:v>Frontal 3/4 abierta</x:v>
      </x:c>
      <x:c r="E11" s="30" t="str">
        <x:v>https://images.ctfassets.net/8zlbnewncp6f/36eFpOlifSVIHDGAGLnrGd/0703eb108bff4283b2c2c56b22727888/Moto_Runga_250_con_Cabina_Galgo_M%C3%A9xico.jpg?fit=pad&amp;fm=webp&amp;h=1200&amp;q=95&amp;w=1600</x:v>
      </x:c>
      <x:c r="F11" s="30" t="str">
        <x:v>https://www.galgo.com/mx/motos/MX1329-zmoto-runga-250-con-cabina</x:v>
      </x:c>
      <x:c r="G11" s="41" t="str">
        <x:v>APROBADA</x:v>
      </x:c>
      <x:c r="H11" s="30" t="str">
        <x:v>Vehículo completo y ángulo diferente.</x:v>
      </x:c>
    </x:row>
    <x:row r="12" ht="38" customHeight="1">
      <x:c r="A12" s="41" t="n">
        <x:v>11</x:v>
      </x:c>
      <x:c r="B12" s="41" t="str">
        <x:v>Runga 250Z</x:v>
      </x:c>
      <x:c r="C12" s="41" t="n">
        <x:v>3</x:v>
      </x:c>
      <x:c r="D12" s="30" t="str">
        <x:v>Lateral</x:v>
      </x:c>
      <x:c r="E12" s="30" t="str">
        <x:v>https://images.ctfassets.net/8zlbnewncp6f/ZMDWHz4i645MNcu8ZIMGY/5812478086df3675213ed6bb5bba8631/f7bb62_80b6fcaa2ae94361812bc4e2dd67ee1c-mv2.jpg?fit=pad&amp;fm=webp&amp;h=1200&amp;q=95&amp;w=1600</x:v>
      </x:c>
      <x:c r="F12" s="30" t="str">
        <x:v>https://www.galgo.com/mx/motos/MX1329-zmoto-runga-250-con-cabina</x:v>
      </x:c>
      <x:c r="G12" s="41" t="str">
        <x:v>APROBADA</x:v>
      </x:c>
      <x:c r="H12" s="30" t="str">
        <x:v>Vehículo completo y ángulo diferente.</x:v>
      </x:c>
    </x:row>
    <x:row r="13" ht="38" customHeight="1">
      <x:c r="A13" s="41" t="n">
        <x:v>12</x:v>
      </x:c>
      <x:c r="B13" s="41" t="str">
        <x:v>Runga 250Z</x:v>
      </x:c>
      <x:c r="C13" s="41" t="n">
        <x:v>4</x:v>
      </x:c>
      <x:c r="D13" s="30" t="str">
        <x:v>Vista oficial</x:v>
      </x:c>
      <x:c r="E13" s="30" t="str">
        <x:v>https://www.motocool.net/web/image/product.template/25/image_1920?unique=c3d85fa</x:v>
      </x:c>
      <x:c r="F13" s="30" t="str">
        <x:v>https://www.galgo.com/mx/motos/MX1329-zmoto-runga-250-con-cabina</x:v>
      </x:c>
      <x:c r="G13" s="41" t="str">
        <x:v>APROBADA</x:v>
      </x:c>
      <x:c r="H13" s="30" t="str">
        <x:v>Vehículo completo y ángulo diferente.</x:v>
      </x:c>
    </x:row>
    <x:row r="14" ht="38" customHeight="1">
      <x:c r="A14" s="41" t="n">
        <x:v>13</x:v>
      </x:c>
      <x:c r="B14" s="41" t="str">
        <x:v>Runga 250</x:v>
      </x:c>
      <x:c r="C14" s="41" t="n">
        <x:v>1</x:v>
      </x:c>
      <x:c r="D14" s="30" t="str">
        <x:v>Frontal 3/4</x:v>
      </x:c>
      <x:c r="E14" s="30" t="str">
        <x:v>https://www.zmoto.com.mx/web/image/product.product/49/image_1024/ZMOTO%20RUNGA250%20%28Rojo%29?unique=14a61c2</x:v>
      </x:c>
      <x:c r="F14" s="30" t="str">
        <x:v>https://www.zmoto.com.mx/shop/zmoto-runga250-24</x:v>
      </x:c>
      <x:c r="G14" s="41" t="str">
        <x:v>APROBADA</x:v>
      </x:c>
      <x:c r="H14" s="30" t="str">
        <x:v>Vehículo completo y ángulo diferente.</x:v>
      </x:c>
    </x:row>
    <x:row r="15" ht="38" customHeight="1">
      <x:c r="A15" s="41" t="n">
        <x:v>14</x:v>
      </x:c>
      <x:c r="B15" s="41" t="str">
        <x:v>Runga 250</x:v>
      </x:c>
      <x:c r="C15" s="41" t="n">
        <x:v>2</x:v>
      </x:c>
      <x:c r="D15" s="30" t="str">
        <x:v>Frontal</x:v>
      </x:c>
      <x:c r="E15" s="30" t="str">
        <x:v>https://www.zmoto.com.mx/web/image/product.image/85/image_1024/FRONTAL.webp?unique=7e12bac</x:v>
      </x:c>
      <x:c r="F15" s="30" t="str">
        <x:v>https://www.zmoto.com.mx/shop/zmoto-runga250-24</x:v>
      </x:c>
      <x:c r="G15" s="41" t="str">
        <x:v>APROBADA</x:v>
      </x:c>
      <x:c r="H15" s="30" t="str">
        <x:v>Vehículo completo y ángulo diferente.</x:v>
      </x:c>
    </x:row>
    <x:row r="16" ht="38" customHeight="1">
      <x:c r="A16" s="41" t="n">
        <x:v>15</x:v>
      </x:c>
      <x:c r="B16" s="41" t="str">
        <x:v>Runga 250</x:v>
      </x:c>
      <x:c r="C16" s="41" t="n">
        <x:v>3</x:v>
      </x:c>
      <x:c r="D16" s="30" t="str">
        <x:v>Lateral derecha</x:v>
      </x:c>
      <x:c r="E16" s="30" t="str">
        <x:v>https://www.zmoto.com.mx/web/image/product.image/86/image_1024/LATERAL%202.webp?unique=7e12bac</x:v>
      </x:c>
      <x:c r="F16" s="30" t="str">
        <x:v>https://www.zmoto.com.mx/shop/zmoto-runga250-24</x:v>
      </x:c>
      <x:c r="G16" s="41" t="str">
        <x:v>APROBADA</x:v>
      </x:c>
      <x:c r="H16" s="30" t="str">
        <x:v>Vehículo completo y ángulo diferente.</x:v>
      </x:c>
    </x:row>
    <x:row r="17" ht="38" customHeight="1">
      <x:c r="A17" s="41" t="n">
        <x:v>16</x:v>
      </x:c>
      <x:c r="B17" s="41" t="str">
        <x:v>Runga 250</x:v>
      </x:c>
      <x:c r="C17" s="41" t="n">
        <x:v>4</x:v>
      </x:c>
      <x:c r="D17" s="30" t="str">
        <x:v>Lateral izquierda</x:v>
      </x:c>
      <x:c r="E17" s="30" t="str">
        <x:v>https://www.zmoto.com.mx/web/image/product.image/87/image_1024/LATERAL.webp?unique=7e12bac</x:v>
      </x:c>
      <x:c r="F17" s="30" t="str">
        <x:v>https://www.zmoto.com.mx/shop/zmoto-runga250-24</x:v>
      </x:c>
      <x:c r="G17" s="41" t="str">
        <x:v>APROBADA</x:v>
      </x:c>
      <x:c r="H17" s="30" t="str">
        <x:v>Vehículo completo y ángulo diferente.</x:v>
      </x:c>
    </x:row>
    <x:row r="18" ht="38" customHeight="1">
      <x:c r="A18" s="41" t="n">
        <x:v>17</x:v>
      </x:c>
      <x:c r="B18" s="41" t="str">
        <x:v>Zmax Plus</x:v>
      </x:c>
      <x:c r="C18" s="41" t="n">
        <x:v>1</x:v>
      </x:c>
      <x:c r="D18" s="30" t="str">
        <x:v>Frontal 3/4</x:v>
      </x:c>
      <x:c r="E18" s="30" t="str">
        <x:v>https://images.ctfassets.net/8zlbnewncp6f/3jA1O5HsUgZfLVuw5WqOZd/0fd4893cb431f2329e27396216d58a96/Moto_Zmoto_ZMX_200_Plus_Galgo_M_xico.jpg?fit=pad&amp;fm=webp&amp;h=1200&amp;q=95&amp;w=1600</x:v>
      </x:c>
      <x:c r="F18" s="30" t="str">
        <x:v>https://www.galgo.com/mx/motos/MX1330-zmoto-zmax-200-plus</x:v>
      </x:c>
      <x:c r="G18" s="41" t="str">
        <x:v>APROBADA</x:v>
      </x:c>
      <x:c r="H18" s="30" t="str">
        <x:v>Vehículo completo y ángulo diferente.</x:v>
      </x:c>
    </x:row>
    <x:row r="19" ht="38" customHeight="1">
      <x:c r="A19" s="41" t="n">
        <x:v>18</x:v>
      </x:c>
      <x:c r="B19" s="41" t="str">
        <x:v>Zmax Plus</x:v>
      </x:c>
      <x:c r="C19" s="41" t="n">
        <x:v>2</x:v>
      </x:c>
      <x:c r="D19" s="30" t="str">
        <x:v>Frontal</x:v>
      </x:c>
      <x:c r="E19" s="30" t="str">
        <x:v>https://images.ctfassets.net/8zlbnewncp6f/tiCcRrlnrAq39PZLMl0Mc/829a7367ba7b145b05fd7ad456578c47/Moto_Zmoto_ZMX_200_Plus_Galgo_M_xico_1.jpg?fit=pad&amp;fm=webp&amp;h=1200&amp;q=95&amp;w=1600</x:v>
      </x:c>
      <x:c r="F19" s="30" t="str">
        <x:v>https://www.galgo.com/mx/motos/MX1330-zmoto-zmax-200-plus</x:v>
      </x:c>
      <x:c r="G19" s="41" t="str">
        <x:v>APROBADA</x:v>
      </x:c>
      <x:c r="H19" s="30" t="str">
        <x:v>Vehículo completo y ángulo diferente.</x:v>
      </x:c>
    </x:row>
    <x:row r="20" ht="38" customHeight="1">
      <x:c r="A20" s="41" t="n">
        <x:v>19</x:v>
      </x:c>
      <x:c r="B20" s="41" t="str">
        <x:v>Zmax Plus</x:v>
      </x:c>
      <x:c r="C20" s="41" t="n">
        <x:v>3</x:v>
      </x:c>
      <x:c r="D20" s="30" t="str">
        <x:v>Lateral</x:v>
      </x:c>
      <x:c r="E20" s="30" t="str">
        <x:v>https://images.ctfassets.net/8zlbnewncp6f/3oI5tMdbaCDflsyXsA9f4x/b082a9c18a57bfd1ea72183bb5904d8b/Moto_Zmoto_ZMX_200_Plus_Galgo_M_xico__2.jpg?fit=pad&amp;fm=webp&amp;h=1200&amp;q=95&amp;w=1600</x:v>
      </x:c>
      <x:c r="F20" s="30" t="str">
        <x:v>https://www.galgo.com/mx/motos/MX1330-zmoto-zmax-200-plus</x:v>
      </x:c>
      <x:c r="G20" s="41" t="str">
        <x:v>APROBADA</x:v>
      </x:c>
      <x:c r="H20" s="30" t="str">
        <x:v>Vehículo completo y ángulo diferente.</x:v>
      </x:c>
    </x:row>
    <x:row r="21" ht="38" customHeight="1">
      <x:c r="A21" s="41" t="n">
        <x:v>20</x:v>
      </x:c>
      <x:c r="B21" s="41" t="str">
        <x:v>Zmax Plus</x:v>
      </x:c>
      <x:c r="C21" s="41" t="n">
        <x:v>4</x:v>
      </x:c>
      <x:c r="D21" s="30" t="str">
        <x:v>Frontal alineada</x:v>
      </x:c>
      <x:c r="E21" s="30" t="str">
        <x:v>https://images.ctfassets.net/8zlbnewncp6f/2xvB0mOP3KMBitLO2rFYgt/b45b8d78bf6aafcccb3c1fe3a2d2cb45/Moto_Zmoto_ZMX_200_Plus_Galgo_M_xico_3.jpg?fit=pad&amp;fm=webp&amp;h=1200&amp;q=95&amp;w=1600</x:v>
      </x:c>
      <x:c r="F21" s="30" t="str">
        <x:v>https://www.galgo.com/mx/motos/MX1330-zmoto-zmax-200-plus</x:v>
      </x:c>
      <x:c r="G21" s="41" t="str">
        <x:v>APROBADA</x:v>
      </x:c>
      <x:c r="H21" s="30" t="str">
        <x:v>Vehículo completo y ángulo diferente.</x:v>
      </x:c>
    </x:row>
    <x:row r="22" ht="38" customHeight="1">
      <x:c r="A22" s="41" t="n">
        <x:v>21</x:v>
      </x:c>
      <x:c r="B22" s="41" t="str">
        <x:v>Zmax 200</x:v>
      </x:c>
      <x:c r="C22" s="41" t="n">
        <x:v>1</x:v>
      </x:c>
      <x:c r="D22" s="30" t="str">
        <x:v>Frontal 3/4</x:v>
      </x:c>
      <x:c r="E22" s="30" t="str">
        <x:v>https://images.ctfassets.net/8zlbnewncp6f/3hMk2yh9d3TEiEuGxeYHQt/c0a3878174139be706f975a477beeb77/Zmoto_ZMAX_200_Galgo_M_xico.png?fit=pad&amp;fm=webp&amp;h=1200&amp;q=95&amp;w=1600</x:v>
      </x:c>
      <x:c r="F22" s="30" t="str">
        <x:v>https://www.galgo.com/mx/motos/MX915-zmoto-zmax-200</x:v>
      </x:c>
      <x:c r="G22" s="41" t="str">
        <x:v>APROBADA</x:v>
      </x:c>
      <x:c r="H22" s="30" t="str">
        <x:v>Vehículo completo y ángulo diferente.</x:v>
      </x:c>
    </x:row>
    <x:row r="23" ht="38" customHeight="1">
      <x:c r="A23" s="41" t="n">
        <x:v>22</x:v>
      </x:c>
      <x:c r="B23" s="41" t="str">
        <x:v>Zmax 200</x:v>
      </x:c>
      <x:c r="C23" s="41" t="n">
        <x:v>2</x:v>
      </x:c>
      <x:c r="D23" s="30" t="str">
        <x:v>Lateral</x:v>
      </x:c>
      <x:c r="E23" s="30" t="str">
        <x:v>https://images.ctfassets.net/8zlbnewncp6f/50NYnnLSXTY92d38YJATi7/c08c40d36d9a52a6832bce85a4695737/Zmoto_Zmax_200_1_3.jpg?fit=pad&amp;fm=webp&amp;h=1200&amp;q=95&amp;w=1600</x:v>
      </x:c>
      <x:c r="F23" s="30" t="str">
        <x:v>https://www.galgo.com/mx/motos/MX915-zmoto-zmax-200</x:v>
      </x:c>
      <x:c r="G23" s="41" t="str">
        <x:v>APROBADA</x:v>
      </x:c>
      <x:c r="H23" s="30" t="str">
        <x:v>Vehículo completo y ángulo diferente.</x:v>
      </x:c>
    </x:row>
    <x:row r="24" ht="38" customHeight="1">
      <x:c r="A24" s="41" t="n">
        <x:v>23</x:v>
      </x:c>
      <x:c r="B24" s="41" t="str">
        <x:v>Zmax 200</x:v>
      </x:c>
      <x:c r="C24" s="41" t="n">
        <x:v>3</x:v>
      </x:c>
      <x:c r="D24" s="30" t="str">
        <x:v>Frontal</x:v>
      </x:c>
      <x:c r="E24" s="30" t="str">
        <x:v>https://images.ctfassets.net/8zlbnewncp6f/6SadrKb7JAj7iXP4D9xSoY/a302e5b80716bdbccfb427d10f5067ea/Zmoto_Zmax_200_1_4.jpg?fit=pad&amp;fm=webp&amp;h=1200&amp;q=95&amp;w=1600</x:v>
      </x:c>
      <x:c r="F24" s="30" t="str">
        <x:v>https://www.galgo.com/mx/motos/MX915-zmoto-zmax-200</x:v>
      </x:c>
      <x:c r="G24" s="41" t="str">
        <x:v>APROBADA</x:v>
      </x:c>
      <x:c r="H24" s="30" t="str">
        <x:v>Vehículo completo y ángulo diferente.</x:v>
      </x:c>
    </x:row>
    <x:row r="25" ht="38" customHeight="1">
      <x:c r="A25" s="41" t="n">
        <x:v>24</x:v>
      </x:c>
      <x:c r="B25" s="41" t="str">
        <x:v>Zmax 200</x:v>
      </x:c>
      <x:c r="C25" s="41" t="n">
        <x:v>4</x:v>
      </x:c>
      <x:c r="D25" s="30" t="str">
        <x:v>Estática 3/4</x:v>
      </x:c>
      <x:c r="E25" s="30" t="str">
        <x:v>https://images.ctfassets.net/8zlbnewncp6f/1uXPLsHXenDcEnH9AUp579/7296cff90ccfca241fc551115f20200d/Zmoto_ZMAX_200_Lifestyle2_Galgo.jpg?fm=webp&amp;q=100&amp;w=1600</x:v>
      </x:c>
      <x:c r="F25" s="30" t="str">
        <x:v>https://www.galgo.com/mx/motos/MX915-zmoto-zmax-200</x:v>
      </x:c>
      <x:c r="G25" s="41" t="str">
        <x:v>APROBADA</x:v>
      </x:c>
      <x:c r="H25" s="30" t="str">
        <x:v>Vehículo completo y ángulo diferente.</x:v>
      </x:c>
    </x:row>
    <x:row r="26" ht="38" customHeight="1">
      <x:c r="A26" s="41" t="n">
        <x:v>25</x:v>
      </x:c>
      <x:c r="B26" s="41" t="str">
        <x:v>Carguero 320</x:v>
      </x:c>
      <x:c r="C26" s="41" t="n">
        <x:v>1</x:v>
      </x:c>
      <x:c r="D26" s="30" t="str">
        <x:v>Frontal 3/4</x:v>
      </x:c>
      <x:c r="E26" s="30" t="str">
        <x:v>https://images.ctfassets.net/8zlbnewncp6f/6fJx0weVGPmnDUq7LL3ufp/9146c08a6852be0b4abaed7cb0593a5c/RUNGA_CARGUERO_300_Imagen_principal_Galgo_M_xico.png?fit=pad&amp;fm=webp&amp;h=1200&amp;q=95&amp;w=1600</x:v>
      </x:c>
      <x:c r="F26" s="30" t="str">
        <x:v>https://www.galgo.com/mx/motos/MX2989-zmoto-runga-320-carguero</x:v>
      </x:c>
      <x:c r="G26" s="41" t="str">
        <x:v>APROBADA</x:v>
      </x:c>
      <x:c r="H26" s="30" t="str">
        <x:v>Vehículo completo y ángulo diferente.</x:v>
      </x:c>
    </x:row>
    <x:row r="27" ht="38" customHeight="1">
      <x:c r="A27" s="41" t="n">
        <x:v>26</x:v>
      </x:c>
      <x:c r="B27" s="41" t="str">
        <x:v>Carguero 320</x:v>
      </x:c>
      <x:c r="C27" s="41" t="n">
        <x:v>2</x:v>
      </x:c>
      <x:c r="D27" s="30" t="str">
        <x:v>Trasera 3/4 caja elevada</x:v>
      </x:c>
      <x:c r="E27" s="30" t="str">
        <x:v>https://images.ctfassets.net/8zlbnewncp6f/66kbfuG3DjMNNIRBN1kQgV/769d404081ba86868c006e2988f77207/RUNGA_CARGUERO_300_Galeria1_Galgo_M_xico.png?fit=pad&amp;fm=webp&amp;h=1200&amp;q=95&amp;w=1600</x:v>
      </x:c>
      <x:c r="F27" s="30" t="str">
        <x:v>https://www.galgo.com/mx/motos/MX2989-zmoto-runga-320-carguero</x:v>
      </x:c>
      <x:c r="G27" s="41" t="str">
        <x:v>APROBADA</x:v>
      </x:c>
      <x:c r="H27" s="30" t="str">
        <x:v>Vehículo completo y ángulo diferente.</x:v>
      </x:c>
    </x:row>
    <x:row r="28" ht="38" customHeight="1">
      <x:c r="A28" s="41" t="n">
        <x:v>27</x:v>
      </x:c>
      <x:c r="B28" s="41" t="str">
        <x:v>Carguero 320</x:v>
      </x:c>
      <x:c r="C28" s="41" t="n">
        <x:v>3</x:v>
      </x:c>
      <x:c r="D28" s="30" t="str">
        <x:v>Rodando 3/4</x:v>
      </x:c>
      <x:c r="E28" s="30" t="str">
        <x:v>https://images.ctfassets.net/8zlbnewncp6f/3A2IwXuFiqkVclK3za2O1n/164460b8cf1c35fbaff4c0b4660e0cad/Zmoto_Runga_320_Carguero_Lifestyle1_Galgo.jpg?fm=webp&amp;q=100&amp;w=1600</x:v>
      </x:c>
      <x:c r="F28" s="30" t="str">
        <x:v>https://www.galgo.com/mx/motos/MX2989-zmoto-runga-320-carguero</x:v>
      </x:c>
      <x:c r="G28" s="41" t="str">
        <x:v>APROBADA</x:v>
      </x:c>
      <x:c r="H28" s="30" t="str">
        <x:v>Vehículo completo y ángulo diferente.</x:v>
      </x:c>
    </x:row>
    <x:row r="29" ht="38" customHeight="1">
      <x:c r="A29" s="41" t="n">
        <x:v>28</x:v>
      </x:c>
      <x:c r="B29" s="41" t="str">
        <x:v>Carguero 320</x:v>
      </x:c>
      <x:c r="C29" s="41" t="n">
        <x:v>4</x:v>
      </x:c>
      <x:c r="D29" s="30" t="str">
        <x:v>Lateral</x:v>
      </x:c>
      <x:c r="E29" s="30" t="str">
        <x:v>https://images.ctfassets.net/8zlbnewncp6f/FmRv7ynyvSS00M2pAOV95/81458894252e924ff942fc459b7fb311/Zmoto_Runga_320_Carguero_Lifestyle2_Galgo.jpg?fm=webp&amp;q=100&amp;w=1600</x:v>
      </x:c>
      <x:c r="F29" s="30" t="str">
        <x:v>https://www.galgo.com/mx/motos/MX2989-zmoto-runga-320-carguero</x:v>
      </x:c>
      <x:c r="G29" s="41" t="str">
        <x:v>APROBADA</x:v>
      </x:c>
      <x:c r="H29" s="30" t="str">
        <x:v>Vehículo completo y ángulo diferente.</x:v>
      </x:c>
    </x:row>
    <x:row r="30" ht="38" customHeight="1">
      <x:c r="A30" s="41" t="n">
        <x:v>29</x:v>
      </x:c>
      <x:c r="B30" s="41" t="str">
        <x:v>SX6 250</x:v>
      </x:c>
      <x:c r="C30" s="41" t="n">
        <x:v>1</x:v>
      </x:c>
      <x:c r="D30" s="30" t="str">
        <x:v>Lateral</x:v>
      </x:c>
      <x:c r="E30" s="30" t="str">
        <x:v>https://images.ctfassets.net/8zlbnewncp6f/6ecaGe14VpbPSjXPcHDnvQ/6ea2b85bdce736d4cd9104010830165f/Zmoto_SX6_250_Galgo_M_xico.png?fit=pad&amp;fm=webp&amp;h=1200&amp;q=95&amp;w=1600</x:v>
      </x:c>
      <x:c r="F30" s="30" t="str">
        <x:v>https://www.galgo.com/mx/motos/MX917-zmoto-sx6-250</x:v>
      </x:c>
      <x:c r="G30" s="41" t="str">
        <x:v>APROBADA</x:v>
      </x:c>
      <x:c r="H30" s="30" t="str">
        <x:v>Vehículo completo y ángulo diferente.</x:v>
      </x:c>
    </x:row>
    <x:row r="31" ht="38" customHeight="1">
      <x:c r="A31" s="41" t="n">
        <x:v>30</x:v>
      </x:c>
      <x:c r="B31" s="41" t="str">
        <x:v>SX6 250</x:v>
      </x:c>
      <x:c r="C31" s="41" t="n">
        <x:v>2</x:v>
      </x:c>
      <x:c r="D31" s="30" t="str">
        <x:v>Frontal</x:v>
      </x:c>
      <x:c r="E31" s="30" t="str">
        <x:v>https://images.ctfassets.net/8zlbnewncp6f/6gx1vH1W4B9bELP7x9mRjo/b2b40906116bb16adae8ed35b02fcb3b/Zmotos_SX6_250-1.jpg?fit=pad&amp;fm=webp&amp;h=1200&amp;q=95&amp;w=1600</x:v>
      </x:c>
      <x:c r="F31" s="30" t="str">
        <x:v>https://www.galgo.com/mx/motos/MX917-zmoto-sx6-250</x:v>
      </x:c>
      <x:c r="G31" s="41" t="str">
        <x:v>APROBADA</x:v>
      </x:c>
      <x:c r="H31" s="30" t="str">
        <x:v>Vehículo completo y ángulo diferente.</x:v>
      </x:c>
    </x:row>
    <x:row r="32" ht="38" customHeight="1">
      <x:c r="A32" s="41" t="n">
        <x:v>31</x:v>
      </x:c>
      <x:c r="B32" s="41" t="str">
        <x:v>SX6 250</x:v>
      </x:c>
      <x:c r="C32" s="41" t="n">
        <x:v>3</x:v>
      </x:c>
      <x:c r="D32" s="30" t="str">
        <x:v>Acción frontal</x:v>
      </x:c>
      <x:c r="E32" s="30" t="str">
        <x:v>https://images.ctfassets.net/8zlbnewncp6f/74WtmmCuDUsbxkNSAem4Kr/c8518c7accfc5cdcc15bba8bb572af99/Zmoto_SX6_250_Lifestyle1_Galgo.jpg?fm=webp&amp;q=100&amp;w=1600</x:v>
      </x:c>
      <x:c r="F32" s="30" t="str">
        <x:v>https://www.galgo.com/mx/motos/MX917-zmoto-sx6-250</x:v>
      </x:c>
      <x:c r="G32" s="41" t="str">
        <x:v>APROBADA</x:v>
      </x:c>
      <x:c r="H32" s="30" t="str">
        <x:v>Vehículo completo y ángulo diferente.</x:v>
      </x:c>
    </x:row>
    <x:row r="33" ht="38" customHeight="1">
      <x:c r="A33" s="41" t="n">
        <x:v>32</x:v>
      </x:c>
      <x:c r="B33" s="41" t="str">
        <x:v>SX6 250</x:v>
      </x:c>
      <x:c r="C33" s="41" t="n">
        <x:v>4</x:v>
      </x:c>
      <x:c r="D33" s="30" t="str">
        <x:v>Estática lateral</x:v>
      </x:c>
      <x:c r="E33" s="30" t="str">
        <x:v>https://images.ctfassets.net/8zlbnewncp6f/blIeLkE1MxQqyTIJMFjVT/1f05427c7085e1346ccc22c93eb0f355/Zmoto_SX6_250_Lifestyle2_Galgo.jpg?fm=webp&amp;q=100&amp;w=1600</x:v>
      </x:c>
      <x:c r="F33" s="30" t="str">
        <x:v>https://www.galgo.com/mx/motos/MX917-zmoto-sx6-250</x:v>
      </x:c>
      <x:c r="G33" s="41" t="str">
        <x:v>APROBADA</x:v>
      </x:c>
      <x:c r="H33" s="30" t="str">
        <x:v>Vehículo completo y ángulo diferente.</x:v>
      </x:c>
    </x:row>
    <x:row r="34" ht="38" customHeight="1">
      <x:c r="A34" s="41" t="n">
        <x:v>33</x:v>
      </x:c>
      <x:c r="B34" s="41" t="str">
        <x:v>Nitro 150</x:v>
      </x:c>
      <x:c r="C34" s="41" t="n">
        <x:v>1</x:v>
      </x:c>
      <x:c r="D34" s="30" t="str">
        <x:v>Frontal 3/4 azul</x:v>
      </x:c>
      <x:c r="E34" s="30" t="str">
        <x:v>https://images.ctfassets.net/8zlbnewncp6f/7shGlNrXidlHqvWONhBXK1/0e4617fafe76ab0fb4a0fed110bb9f0b/NITRO_150_Imagen_principal_Galgo_M_xico.jpg?fit=pad&amp;fm=webp&amp;h=1200&amp;q=95&amp;w=1600</x:v>
      </x:c>
      <x:c r="F34" s="30" t="str">
        <x:v>https://www.galgo.com/mx/motos/MX2610-zmoto-nitro-150</x:v>
      </x:c>
      <x:c r="G34" s="41" t="str">
        <x:v>APROBADA</x:v>
      </x:c>
      <x:c r="H34" s="30" t="str">
        <x:v>Vehículo completo y ángulo diferente.</x:v>
      </x:c>
    </x:row>
    <x:row r="35" ht="38" customHeight="1">
      <x:c r="A35" s="41" t="n">
        <x:v>34</x:v>
      </x:c>
      <x:c r="B35" s="41" t="str">
        <x:v>Nitro 150</x:v>
      </x:c>
      <x:c r="C35" s="41" t="n">
        <x:v>2</x:v>
      </x:c>
      <x:c r="D35" s="30" t="str">
        <x:v>Frontal 3/4 rojo</x:v>
      </x:c>
      <x:c r="E35" s="30" t="str">
        <x:v>https://images.ctfassets.net/8zlbnewncp6f/6hTGabnCxJGUbPuS92FQS3/ad1934026b981a2432ad9a3d7929a0d9/NITRO_150_Galeria1_Galgo_M_xico.jpg?fit=pad&amp;fm=webp&amp;h=1200&amp;q=95&amp;w=1600</x:v>
      </x:c>
      <x:c r="F35" s="30" t="str">
        <x:v>https://www.galgo.com/mx/motos/MX2610-zmoto-nitro-150</x:v>
      </x:c>
      <x:c r="G35" s="41" t="str">
        <x:v>APROBADA</x:v>
      </x:c>
      <x:c r="H35" s="30" t="str">
        <x:v>Vehículo completo y ángulo diferente.</x:v>
      </x:c>
    </x:row>
    <x:row r="36" ht="38" customHeight="1">
      <x:c r="A36" s="41" t="n">
        <x:v>35</x:v>
      </x:c>
      <x:c r="B36" s="41" t="str">
        <x:v>Nitro 150</x:v>
      </x:c>
      <x:c r="C36" s="41" t="n">
        <x:v>3</x:v>
      </x:c>
      <x:c r="D36" s="30" t="str">
        <x:v>Lateral derecho</x:v>
      </x:c>
      <x:c r="E36" s="30" t="str">
        <x:v>https://images.ctfassets.net/8zlbnewncp6f/6mnzH19Hd6cUeUqNmBtsse/55f7d79d73e46efa10289f0dd54fc3f0/NITRO_150_Lifestyle1_Galgo_M_xico.jpg?fit=pad&amp;fm=webp&amp;h=1200&amp;q=95&amp;w=1600</x:v>
      </x:c>
      <x:c r="F36" s="30" t="str">
        <x:v>https://www.galgo.com/mx/motos/MX2610-zmoto-nitro-150</x:v>
      </x:c>
      <x:c r="G36" s="41" t="str">
        <x:v>APROBADA</x:v>
      </x:c>
      <x:c r="H36" s="30" t="str">
        <x:v>Vehículo completo y ángulo diferente.</x:v>
      </x:c>
    </x:row>
    <x:row r="37" ht="38" customHeight="1">
      <x:c r="A37" s="41" t="n">
        <x:v>36</x:v>
      </x:c>
      <x:c r="B37" s="41" t="str">
        <x:v>Nitro 150</x:v>
      </x:c>
      <x:c r="C37" s="41" t="n">
        <x:v>4</x:v>
      </x:c>
      <x:c r="D37" s="30" t="str">
        <x:v>Lateral izquierdo</x:v>
      </x:c>
      <x:c r="E37" s="30" t="str">
        <x:v>https://images.ctfassets.net/8zlbnewncp6f/19GFFGeDSOKZ1uM8naTbHp/8448545594ce6e69d96e73a8327d62dd/NITRO_150_Lifestyle2_Galgo_M_xico.jpg?fit=pad&amp;fm=webp&amp;h=1200&amp;q=95&amp;w=1600</x:v>
      </x:c>
      <x:c r="F37" s="30" t="str">
        <x:v>https://www.galgo.com/mx/motos/MX2610-zmoto-nitro-150</x:v>
      </x:c>
      <x:c r="G37" s="41" t="str">
        <x:v>APROBADA</x:v>
      </x:c>
      <x:c r="H37" s="30" t="str">
        <x:v>Vehículo completo y ángulo diferente.</x:v>
      </x:c>
    </x:row>
    <x:row r="38" ht="38" customHeight="1">
      <x:c r="A38" s="41" t="n">
        <x:v>37</x:v>
      </x:c>
      <x:c r="B38" s="41" t="str">
        <x:v>ZM 150</x:v>
      </x:c>
      <x:c r="C38" s="41" t="n">
        <x:v>1</x:v>
      </x:c>
      <x:c r="D38" s="30" t="str">
        <x:v>Frontal 3/4</x:v>
      </x:c>
      <x:c r="E38" s="30" t="str">
        <x:v>https://zoommotos.mx/cdn/shop/files/banners-ZMOTO-ZM150-azul-1.jpg?v=1722463053&amp;width=1946</x:v>
      </x:c>
      <x:c r="F38" s="30" t="str">
        <x:v>https://zoommotos.mx/products/zmoto-zm150-azul</x:v>
      </x:c>
      <x:c r="G38" s="41" t="str">
        <x:v>APROBADA</x:v>
      </x:c>
      <x:c r="H38" s="30" t="str">
        <x:v>Vehículo completo y ángulo diferente.</x:v>
      </x:c>
    </x:row>
    <x:row r="39" ht="38" customHeight="1">
      <x:c r="A39" s="41" t="n">
        <x:v>38</x:v>
      </x:c>
      <x:c r="B39" s="41" t="str">
        <x:v>ZM 150</x:v>
      </x:c>
      <x:c r="C39" s="41" t="n">
        <x:v>2</x:v>
      </x:c>
      <x:c r="D39" s="30" t="str">
        <x:v>Lateral</x:v>
      </x:c>
      <x:c r="E39" s="30" t="str">
        <x:v>https://zoommotos.mx/cdn/shop/files/banners-ZMOTO-ZM150-azul-2.jpg?v=1722463053&amp;width=1946</x:v>
      </x:c>
      <x:c r="F39" s="30" t="str">
        <x:v>https://zoommotos.mx/products/zmoto-zm150-azul</x:v>
      </x:c>
      <x:c r="G39" s="41" t="str">
        <x:v>APROBADA</x:v>
      </x:c>
      <x:c r="H39" s="30" t="str">
        <x:v>Vehículo completo y ángulo diferente.</x:v>
      </x:c>
    </x:row>
    <x:row r="40" ht="38" customHeight="1">
      <x:c r="A40" s="41" t="n">
        <x:v>39</x:v>
      </x:c>
      <x:c r="B40" s="41" t="str">
        <x:v>ZM 150</x:v>
      </x:c>
      <x:c r="C40" s="41" t="n">
        <x:v>3</x:v>
      </x:c>
      <x:c r="D40" s="30" t="str">
        <x:v>Frontal 3/4 opuesto</x:v>
      </x:c>
      <x:c r="E40" s="30" t="str">
        <x:v>https://zoommotos.mx/cdn/shop/files/banners-ZMOTO-ZM150-azul-7.jpg?v=1722463053&amp;width=1946</x:v>
      </x:c>
      <x:c r="F40" s="30" t="str">
        <x:v>https://zoommotos.mx/products/zmoto-zm150-azul</x:v>
      </x:c>
      <x:c r="G40" s="41" t="str">
        <x:v>APROBADA</x:v>
      </x:c>
      <x:c r="H40" s="30" t="str">
        <x:v>Vehículo completo y ángulo diferente.</x:v>
      </x:c>
    </x:row>
    <x:row r="41" ht="38" customHeight="1">
      <x:c r="A41" s="41" t="n">
        <x:v>40</x:v>
      </x:c>
      <x:c r="B41" s="41" t="str">
        <x:v>ZM 150</x:v>
      </x:c>
      <x:c r="C41" s="41" t="n">
        <x:v>4</x:v>
      </x:c>
      <x:c r="D41" s="30" t="str">
        <x:v>Frontal 3/4 color rojo</x:v>
      </x:c>
      <x:c r="E41" s="30" t="str">
        <x:v>https://images.ctfassets.net/8zlbnewncp6f/1Bxhii1V1HDCwZf00jhadr/336a5f512dd3a0d71ee4351018852562/Zmoto_ZM_150Galgo_M_xico.png?fit=pad&amp;fm=webp&amp;h=1200&amp;q=95&amp;w=1600</x:v>
      </x:c>
      <x:c r="F41" s="30" t="str">
        <x:v>https://zoommotos.mx/products/zmoto-zm150-azul</x:v>
      </x:c>
      <x:c r="G41" s="41" t="str">
        <x:v>APROBADA</x:v>
      </x:c>
      <x:c r="H41" s="30" t="str">
        <x:v>Vehículo completo y ángulo diferente.</x:v>
      </x:c>
    </x:row>
    <x:row r="42" ht="38" customHeight="1">
      <x:c r="A42" s="41" t="n">
        <x:v>41</x:v>
      </x:c>
      <x:c r="B42" s="41" t="str">
        <x:v>CRX 150</x:v>
      </x:c>
      <x:c r="C42" s="41" t="n">
        <x:v>1</x:v>
      </x:c>
      <x:c r="D42" s="30" t="str">
        <x:v>Frontal 3/4 verde</x:v>
      </x:c>
      <x:c r="E42" s="30" t="str">
        <x:v>https://www.zmoto.com.mx/web/image/product.template/18/image_1024/ZMOTO%20CRX150?unique=6d25439</x:v>
      </x:c>
      <x:c r="F42" s="30" t="str">
        <x:v>https://www.galgo.com/mx/motos/MX1331-zmoto-crx-150</x:v>
      </x:c>
      <x:c r="G42" s="41" t="str">
        <x:v>APROBADA</x:v>
      </x:c>
      <x:c r="H42" s="30" t="str">
        <x:v>Vehículo completo y ángulo diferente.</x:v>
      </x:c>
    </x:row>
    <x:row r="43" ht="38" customHeight="1">
      <x:c r="A43" s="41" t="n">
        <x:v>42</x:v>
      </x:c>
      <x:c r="B43" s="41" t="str">
        <x:v>CRX 150</x:v>
      </x:c>
      <x:c r="C43" s="41" t="n">
        <x:v>2</x:v>
      </x:c>
      <x:c r="D43" s="30" t="str">
        <x:v>Frontal 3/4 rojo</x:v>
      </x:c>
      <x:c r="E43" s="30" t="str">
        <x:v>https://images.ctfassets.net/8zlbnewncp6f/15ZRk00gaN6dttAO93zbD1/bb1a838cf24720b371514dd045d87404/Moto_Zmoto_CRX_150_Galgo_M_xico.jpg?fit=pad&amp;fm=webp&amp;h=1200&amp;q=95&amp;w=1600</x:v>
      </x:c>
      <x:c r="F43" s="30" t="str">
        <x:v>https://www.galgo.com/mx/motos/MX1331-zmoto-crx-150</x:v>
      </x:c>
      <x:c r="G43" s="41" t="str">
        <x:v>APROBADA</x:v>
      </x:c>
      <x:c r="H43" s="30" t="str">
        <x:v>Vehículo completo y ángulo diferente.</x:v>
      </x:c>
    </x:row>
    <x:row r="44" ht="38" customHeight="1">
      <x:c r="A44" s="41" t="n">
        <x:v>43</x:v>
      </x:c>
      <x:c r="B44" s="41" t="str">
        <x:v>CRX 150</x:v>
      </x:c>
      <x:c r="C44" s="41" t="n">
        <x:v>3</x:v>
      </x:c>
      <x:c r="D44" s="30" t="str">
        <x:v>Frontal</x:v>
      </x:c>
      <x:c r="E44" s="30" t="str">
        <x:v>https://images.ctfassets.net/8zlbnewncp6f/3Q3WWTVH7ATb2zYzG2OoxD/cbf7c95883c9eda2693b986f4c752dab/Moto_Zmoto_CRX_150_Galgo_M_xico_1.jpg?fit=pad&amp;fm=webp&amp;h=1200&amp;q=95&amp;w=1600</x:v>
      </x:c>
      <x:c r="F44" s="30" t="str">
        <x:v>https://www.galgo.com/mx/motos/MX1331-zmoto-crx-150</x:v>
      </x:c>
      <x:c r="G44" s="41" t="str">
        <x:v>APROBADA</x:v>
      </x:c>
      <x:c r="H44" s="30" t="str">
        <x:v>Vehículo completo y ángulo diferente.</x:v>
      </x:c>
    </x:row>
    <x:row r="45" ht="38" customHeight="1">
      <x:c r="A45" s="41" t="n">
        <x:v>44</x:v>
      </x:c>
      <x:c r="B45" s="41" t="str">
        <x:v>CRX 150</x:v>
      </x:c>
      <x:c r="C45" s="41" t="n">
        <x:v>4</x:v>
      </x:c>
      <x:c r="D45" s="30" t="str">
        <x:v>Referencia lateral parcial</x:v>
      </x:c>
      <x:c r="E45" s="30" t="str">
        <x:v>https://images.ctfassets.net/8zlbnewncp6f/75OSrkIUoq877rXWZphs8i/4d7458f71237366e36a65314b6d884c4/Moto_Zmoto_CRX_150_Galgo_M_xico_4.jpg?fit=pad&amp;fm=webp&amp;h=1200&amp;q=95&amp;w=1600</x:v>
      </x:c>
      <x:c r="F45" s="30" t="str">
        <x:v>https://www.galgo.com/mx/motos/MX1331-zmoto-crx-150</x:v>
      </x:c>
      <x:c r="G45" s="41" t="str">
        <x:v>REVISAR</x:v>
      </x:c>
      <x:c r="H45" s="30" t="str">
        <x:v>La fuente pública solo ofrece una toma parcial para completar la galería.</x:v>
      </x:c>
    </x:row>
    <x:row r="46" ht="38" customHeight="1">
      <x:c r="A46" s="41" t="n">
        <x:v>45</x:v>
      </x:c>
      <x:c r="B46" s="41" t="str">
        <x:v>Maxx 125</x:v>
      </x:c>
      <x:c r="C46" s="41" t="n">
        <x:v>1</x:v>
      </x:c>
      <x:c r="D46" s="30" t="str">
        <x:v>Frontal 3/4 azul</x:v>
      </x:c>
      <x:c r="E46" s="30" t="str">
        <x:v>https://www.zmoto.com.mx/web/image/product.image/15/image_1024/MAXX%20125?unique=290f9ac</x:v>
      </x:c>
      <x:c r="F46" s="30" t="str">
        <x:v>https://www.galgo.com/mx/motos/MX1332-zmoto-maxx-125-2023</x:v>
      </x:c>
      <x:c r="G46" s="41" t="str">
        <x:v>APROBADA</x:v>
      </x:c>
      <x:c r="H46" s="30" t="str">
        <x:v>Vehículo completo y ángulo diferente.</x:v>
      </x:c>
    </x:row>
    <x:row r="47" ht="38" customHeight="1">
      <x:c r="A47" s="41" t="n">
        <x:v>46</x:v>
      </x:c>
      <x:c r="B47" s="41" t="str">
        <x:v>Maxx 125</x:v>
      </x:c>
      <x:c r="C47" s="41" t="n">
        <x:v>2</x:v>
      </x:c>
      <x:c r="D47" s="30" t="str">
        <x:v>Vista oficial 2</x:v>
      </x:c>
      <x:c r="E47" s="30" t="str">
        <x:v>https://www.zmoto.com.mx/web/image/product.image/16/image_1024/MAXX%20125?unique=290f9ac</x:v>
      </x:c>
      <x:c r="F47" s="30" t="str">
        <x:v>https://www.galgo.com/mx/motos/MX1332-zmoto-maxx-125-2023</x:v>
      </x:c>
      <x:c r="G47" s="41" t="str">
        <x:v>APROBADA</x:v>
      </x:c>
      <x:c r="H47" s="30" t="str">
        <x:v>Vehículo completo y ángulo diferente.</x:v>
      </x:c>
    </x:row>
    <x:row r="48" ht="38" customHeight="1">
      <x:c r="A48" s="41" t="n">
        <x:v>47</x:v>
      </x:c>
      <x:c r="B48" s="41" t="str">
        <x:v>Maxx 125</x:v>
      </x:c>
      <x:c r="C48" s="41" t="n">
        <x:v>3</x:v>
      </x:c>
      <x:c r="D48" s="30" t="str">
        <x:v>Lateral rojo</x:v>
      </x:c>
      <x:c r="E48" s="30" t="str">
        <x:v>https://images.ctfassets.net/8zlbnewncp6f/2X5iCuP5EMUGa6N6zs24d3/9cae7e8e68543e415ddd3c476f410f10/Moto_Zmoto_MAXX_125_Galgo_M_xico_1.jpg?fit=pad&amp;fm=webp&amp;h=1200&amp;q=95&amp;w=1600</x:v>
      </x:c>
      <x:c r="F48" s="30" t="str">
        <x:v>https://www.galgo.com/mx/motos/MX1332-zmoto-maxx-125-2023</x:v>
      </x:c>
      <x:c r="G48" s="41" t="str">
        <x:v>APROBADA</x:v>
      </x:c>
      <x:c r="H48" s="30" t="str">
        <x:v>Vehículo completo y ángulo diferente.</x:v>
      </x:c>
    </x:row>
    <x:row r="49" ht="38" customHeight="1">
      <x:c r="A49" s="41" t="n">
        <x:v>48</x:v>
      </x:c>
      <x:c r="B49" s="41" t="str">
        <x:v>Maxx 125</x:v>
      </x:c>
      <x:c r="C49" s="41" t="n">
        <x:v>4</x:v>
      </x:c>
      <x:c r="D49" s="30" t="str">
        <x:v>Frontal 3/4 gris</x:v>
      </x:c>
      <x:c r="E49" s="30" t="str">
        <x:v>https://images.ctfassets.net/8zlbnewncp6f/2myHNcpVKqyY3hiT55ypi8/dd2c9cb1409e80d5a8b43c9ab047f43d/Moto_Zmoto_MAXX_125_Galgo_M_xico.jpg?fit=pad&amp;fm=webp&amp;h=1200&amp;q=95&amp;w=1600</x:v>
      </x:c>
      <x:c r="F49" s="30" t="str">
        <x:v>https://www.galgo.com/mx/motos/MX1332-zmoto-maxx-125-2023</x:v>
      </x:c>
      <x:c r="G49" s="41" t="str">
        <x:v>APROBADA</x:v>
      </x:c>
      <x:c r="H49" s="30" t="str">
        <x:v>Vehículo completo y ángulo diferente.</x:v>
      </x:c>
    </x:row>
    <x:row r="50" ht="38" customHeight="1">
      <x:c r="A50" s="41" t="n">
        <x:v>49</x:v>
      </x:c>
      <x:c r="B50" s="41" t="str">
        <x:v>CRX 300</x:v>
      </x:c>
      <x:c r="C50" s="41" t="n">
        <x:v>1</x:v>
      </x:c>
      <x:c r="D50" s="30" t="str">
        <x:v>Frontal 3/4 naranja</x:v>
      </x:c>
      <x:c r="E50" s="30" t="str">
        <x:v>https://images.ctfassets.net/8zlbnewncp6f/6pjHaD5TbJuViUhArK2bYX/ab9b7cc94ceec15a306a7a08ad714aaa/CRX300_Imagen_principal_Galgo_M_xico.jpg?fit=pad&amp;fm=webp&amp;h=1200&amp;q=95&amp;w=1600</x:v>
      </x:c>
      <x:c r="F50" s="30" t="str">
        <x:v>https://www.galgo.com/mx/motos/MX2608-zmoto-crx-300</x:v>
      </x:c>
      <x:c r="G50" s="41" t="str">
        <x:v>APROBADA</x:v>
      </x:c>
      <x:c r="H50" s="30" t="str">
        <x:v>Vehículo completo y ángulo diferente.</x:v>
      </x:c>
    </x:row>
    <x:row r="51" ht="38" customHeight="1">
      <x:c r="A51" s="41" t="n">
        <x:v>50</x:v>
      </x:c>
      <x:c r="B51" s="41" t="str">
        <x:v>CRX 300</x:v>
      </x:c>
      <x:c r="C51" s="41" t="n">
        <x:v>2</x:v>
      </x:c>
      <x:c r="D51" s="30" t="str">
        <x:v>Frontal 3/4 negro</x:v>
      </x:c>
      <x:c r="E51" s="30" t="str">
        <x:v>https://images.ctfassets.net/8zlbnewncp6f/ndd77KJBm4xRQuGEx8hpa/11f13af4da91ce76db4bf6ae24567f44/Zmoto_CRX300_2.jpg?fit=pad&amp;fm=webp&amp;h=1200&amp;q=95&amp;w=1600</x:v>
      </x:c>
      <x:c r="F51" s="30" t="str">
        <x:v>https://www.galgo.com/mx/motos/MX2608-zmoto-crx-300</x:v>
      </x:c>
      <x:c r="G51" s="41" t="str">
        <x:v>APROBADA</x:v>
      </x:c>
      <x:c r="H51" s="30" t="str">
        <x:v>Vehículo completo y ángulo diferente.</x:v>
      </x:c>
    </x:row>
    <x:row r="52" ht="38" customHeight="1">
      <x:c r="A52" s="41" t="n">
        <x:v>51</x:v>
      </x:c>
      <x:c r="B52" s="41" t="str">
        <x:v>CRX 300</x:v>
      </x:c>
      <x:c r="C52" s="41" t="n">
        <x:v>3</x:v>
      </x:c>
      <x:c r="D52" s="30" t="str">
        <x:v>Lateral naranja</x:v>
      </x:c>
      <x:c r="E52" s="30" t="str">
        <x:v>https://images.ctfassets.net/8zlbnewncp6f/7cgvHvxMw7vZ8As7PaskA3/be861391fa03d530c8ec99c6f42ff4dd/Zmoto_CRX300_3.jpg?fit=pad&amp;fm=webp&amp;h=1200&amp;q=95&amp;w=1600</x:v>
      </x:c>
      <x:c r="F52" s="30" t="str">
        <x:v>https://www.galgo.com/mx/motos/MX2608-zmoto-crx-300</x:v>
      </x:c>
      <x:c r="G52" s="41" t="str">
        <x:v>APROBADA</x:v>
      </x:c>
      <x:c r="H52" s="30" t="str">
        <x:v>Vehículo completo y ángulo diferente.</x:v>
      </x:c>
    </x:row>
    <x:row r="53" ht="38" customHeight="1">
      <x:c r="A53" s="41" t="n">
        <x:v>52</x:v>
      </x:c>
      <x:c r="B53" s="41" t="str">
        <x:v>CRX 300</x:v>
      </x:c>
      <x:c r="C53" s="41" t="n">
        <x:v>4</x:v>
      </x:c>
      <x:c r="D53" s="30" t="str">
        <x:v>Vista amplia</x:v>
      </x:c>
      <x:c r="E53" s="30" t="str">
        <x:v>https://images.ctfassets.net/8zlbnewncp6f/6pjHaD5TbJuViUhArK2bYX/ab9b7cc94ceec15a306a7a08ad714aaa/CRX300_Imagen_principal_Galgo_M_xico.jpg?fit=pad&amp;fm=webp&amp;h=1200&amp;q=95&amp;w=1600</x:v>
      </x:c>
      <x:c r="F53" s="30" t="str">
        <x:v>https://www.galgo.com/mx/motos/MX2608-zmoto-crx-300</x:v>
      </x:c>
      <x:c r="G53" s="41" t="str">
        <x:v>APROBADA</x:v>
      </x:c>
      <x:c r="H53" s="30" t="str">
        <x:v>Vehículo completo y ángulo diferente.</x:v>
      </x:c>
    </x:row>
    <x:row r="54" ht="38" customHeight="1">
      <x:c r="A54" s="41" t="n">
        <x:v>53</x:v>
      </x:c>
      <x:c r="B54" s="41" t="str">
        <x:v>CRX 200</x:v>
      </x:c>
      <x:c r="C54" s="41" t="n">
        <x:v>1</x:v>
      </x:c>
      <x:c r="D54" s="30" t="str">
        <x:v>Frontal 3/4</x:v>
      </x:c>
      <x:c r="E54" s="30" t="str">
        <x:v>https://images.ctfassets.net/8zlbnewncp6f/3aswqwWq9QeZz1RZjdRPwo/481e4b2558518b6b7d5768a8011e55a2/CRX_200_Imagen_principal_Galgo_M_xico.png?fit=pad&amp;fm=webp&amp;h=1200&amp;q=95&amp;w=1600</x:v>
      </x:c>
      <x:c r="F54" s="30" t="str">
        <x:v>https://www.galgo.com/mx/motos/MX2609-zmoto-crx-200</x:v>
      </x:c>
      <x:c r="G54" s="41" t="str">
        <x:v>APROBADA</x:v>
      </x:c>
      <x:c r="H54" s="30" t="str">
        <x:v>Vehículo completo y ángulo diferente.</x:v>
      </x:c>
    </x:row>
    <x:row r="55" ht="38" customHeight="1">
      <x:c r="A55" s="41" t="n">
        <x:v>54</x:v>
      </x:c>
      <x:c r="B55" s="41" t="str">
        <x:v>CRX 200</x:v>
      </x:c>
      <x:c r="C55" s="41" t="n">
        <x:v>2</x:v>
      </x:c>
      <x:c r="D55" s="30" t="str">
        <x:v>Frontal 3/4 opuesto</x:v>
      </x:c>
      <x:c r="E55" s="30" t="str">
        <x:v>https://images.ctfassets.net/8zlbnewncp6f/4JeM6rp6so1XduMhMuy2fn/4adc9ff07a17942090e0e6cdf067ac73/CRX_200_3.jpg?fit=pad&amp;fm=webp&amp;h=1200&amp;q=95&amp;w=1600</x:v>
      </x:c>
      <x:c r="F55" s="30" t="str">
        <x:v>https://www.galgo.com/mx/motos/MX2609-zmoto-crx-200</x:v>
      </x:c>
      <x:c r="G55" s="41" t="str">
        <x:v>APROBADA</x:v>
      </x:c>
      <x:c r="H55" s="30" t="str">
        <x:v>Vehículo completo y ángulo diferente.</x:v>
      </x:c>
    </x:row>
    <x:row r="56" ht="38" customHeight="1">
      <x:c r="A56" s="41" t="n">
        <x:v>55</x:v>
      </x:c>
      <x:c r="B56" s="41" t="str">
        <x:v>CRX 200</x:v>
      </x:c>
      <x:c r="C56" s="41" t="n">
        <x:v>3</x:v>
      </x:c>
      <x:c r="D56" s="30" t="str">
        <x:v>Lateral 3/4</x:v>
      </x:c>
      <x:c r="E56" s="30" t="str">
        <x:v>https://images.ctfassets.net/8zlbnewncp6f/6Npwd4wJUjRLLAbbqvFc3t/1dee94d6583fa631be361013c789c963/CRX_200_2.jpg?fit=pad&amp;fm=webp&amp;h=1200&amp;q=95&amp;w=1600</x:v>
      </x:c>
      <x:c r="F56" s="30" t="str">
        <x:v>https://www.galgo.com/mx/motos/MX2609-zmoto-crx-200</x:v>
      </x:c>
      <x:c r="G56" s="41" t="str">
        <x:v>APROBADA</x:v>
      </x:c>
      <x:c r="H56" s="30" t="str">
        <x:v>Vehículo completo y ángulo diferente.</x:v>
      </x:c>
    </x:row>
    <x:row r="57" ht="38" customHeight="1">
      <x:c r="A57" s="41" t="n">
        <x:v>56</x:v>
      </x:c>
      <x:c r="B57" s="41" t="str">
        <x:v>CRX 200</x:v>
      </x:c>
      <x:c r="C57" s="41" t="n">
        <x:v>4</x:v>
      </x:c>
      <x:c r="D57" s="30" t="str">
        <x:v>Lateral</x:v>
      </x:c>
      <x:c r="E57" s="30" t="str">
        <x:v>https://images.ctfassets.net/8zlbnewncp6f/2JpxhvN6sSUnsBMXU1oZ4c/7171189bf7a223e051c15474134ac679/CRX_200_.jpg?fit=pad&amp;fm=webp&amp;h=1200&amp;q=95&amp;w=1600</x:v>
      </x:c>
      <x:c r="F57" s="30" t="str">
        <x:v>https://www.galgo.com/mx/motos/MX2609-zmoto-crx-200</x:v>
      </x:c>
      <x:c r="G57" s="41" t="str">
        <x:v>APROBADA</x:v>
      </x:c>
      <x:c r="H57" s="30" t="str">
        <x:v>Vehículo completo y ángulo diferente.</x:v>
      </x:c>
    </x:row>
    <x:row r="58" ht="38" customHeight="1">
      <x:c r="A58" s="41" t="n">
        <x:v>57</x:v>
      </x:c>
      <x:c r="B58" s="41" t="str">
        <x:v>300 Pro</x:v>
      </x:c>
      <x:c r="C58" s="41" t="n">
        <x:v>1</x:v>
      </x:c>
      <x:c r="D58" s="30" t="str">
        <x:v>Vista oficial principal</x:v>
      </x:c>
      <x:c r="E58" s="30" t="str">
        <x:v>https://www.zmoto.com.mx/web/image/product.template/16/image_1024/ZMOTO%20300PRO-SPORT?unique=2c185c9</x:v>
      </x:c>
      <x:c r="F58" s="30" t="str">
        <x:v>https://www.galgo.com/mx/motos/MX2607-zmoto-300-pro</x:v>
      </x:c>
      <x:c r="G58" s="41" t="str">
        <x:v>APROBADA</x:v>
      </x:c>
      <x:c r="H58" s="30" t="str">
        <x:v>Vehículo completo y ángulo diferente.</x:v>
      </x:c>
    </x:row>
    <x:row r="59" ht="38" customHeight="1">
      <x:c r="A59" s="41" t="n">
        <x:v>58</x:v>
      </x:c>
      <x:c r="B59" s="41" t="str">
        <x:v>300 Pro</x:v>
      </x:c>
      <x:c r="C59" s="41" t="n">
        <x:v>2</x:v>
      </x:c>
      <x:c r="D59" s="30" t="str">
        <x:v>Vista oficial 2</x:v>
      </x:c>
      <x:c r="E59" s="30" t="str">
        <x:v>https://www.zmoto.com.mx/web/image/product.image/1/image_1024/300%20PRO?unique=08ac2b5</x:v>
      </x:c>
      <x:c r="F59" s="30" t="str">
        <x:v>https://www.galgo.com/mx/motos/MX2607-zmoto-300-pro</x:v>
      </x:c>
      <x:c r="G59" s="41" t="str">
        <x:v>APROBADA</x:v>
      </x:c>
      <x:c r="H59" s="30" t="str">
        <x:v>Vehículo completo y ángulo diferente.</x:v>
      </x:c>
    </x:row>
    <x:row r="60" ht="38" customHeight="1">
      <x:c r="A60" s="41" t="n">
        <x:v>59</x:v>
      </x:c>
      <x:c r="B60" s="41" t="str">
        <x:v>300 Pro</x:v>
      </x:c>
      <x:c r="C60" s="41" t="n">
        <x:v>3</x:v>
      </x:c>
      <x:c r="D60" s="30" t="str">
        <x:v>Vista oficial 3</x:v>
      </x:c>
      <x:c r="E60" s="30" t="str">
        <x:v>https://www.zmoto.com.mx/web/image/product.image/2/image_1024/300%20PRO?unique=08ac2b5</x:v>
      </x:c>
      <x:c r="F60" s="30" t="str">
        <x:v>https://www.galgo.com/mx/motos/MX2607-zmoto-300-pro</x:v>
      </x:c>
      <x:c r="G60" s="41" t="str">
        <x:v>APROBADA</x:v>
      </x:c>
      <x:c r="H60" s="30" t="str">
        <x:v>Vehículo completo y ángulo diferente.</x:v>
      </x:c>
    </x:row>
    <x:row r="61" ht="38" customHeight="1">
      <x:c r="A61" s="41" t="n">
        <x:v>60</x:v>
      </x:c>
      <x:c r="B61" s="41" t="str">
        <x:v>300 Pro</x:v>
      </x:c>
      <x:c r="C61" s="41" t="n">
        <x:v>4</x:v>
      </x:c>
      <x:c r="D61" s="30" t="str">
        <x:v>Acción frontal</x:v>
      </x:c>
      <x:c r="E61" s="30" t="str">
        <x:v>https://images.ctfassets.net/8zlbnewncp6f/2XucOtyLy9Sh5sZ1m7NoM8/450a08254b6c9c8af3cea3da86587d4c/Zmoto_300_Pro_Lifestyle1_Galgo.png?fm=webp&amp;q=100&amp;w=1600</x:v>
      </x:c>
      <x:c r="F61" s="30" t="str">
        <x:v>https://www.galgo.com/mx/motos/MX2607-zmoto-300-pro</x:v>
      </x:c>
      <x:c r="G61" s="41" t="str">
        <x:v>APROBADA</x:v>
      </x:c>
      <x:c r="H61" s="30" t="str">
        <x:v>Vehículo completo y ángulo diferente.</x:v>
      </x:c>
    </x:row>
    <x:row r="62" ht="38" customHeight="1">
      <x:c r="A62" s="41" t="n">
        <x:v>61</x:v>
      </x:c>
      <x:c r="B62" s="41" t="str">
        <x:v>Aktiva 150</x:v>
      </x:c>
      <x:c r="C62" s="41" t="n">
        <x:v>1</x:v>
      </x:c>
      <x:c r="D62" s="30" t="str">
        <x:v>Frontal 3/4</x:v>
      </x:c>
      <x:c r="E62" s="30" t="str">
        <x:v>https://images.ctfassets.net/8zlbnewncp6f/6adRWAcxZ3sub2kAv3xbIQ/4a67d43a31e6d9fe372c6c3b475272ba/AKTIVA150_Imagen_principal_Galgo_M_xico.png?fit=pad&amp;fm=webp&amp;h=1200&amp;q=95&amp;w=1600</x:v>
      </x:c>
      <x:c r="F62" s="30" t="str">
        <x:v>https://www.galgo.com/mx/motos/MX2611-zmoto-aktiva-150</x:v>
      </x:c>
      <x:c r="G62" s="41" t="str">
        <x:v>APROBADA</x:v>
      </x:c>
      <x:c r="H62" s="30" t="str">
        <x:v>Vehículo completo y ángulo diferente.</x:v>
      </x:c>
    </x:row>
    <x:row r="63" ht="38" customHeight="1">
      <x:c r="A63" s="41" t="n">
        <x:v>62</x:v>
      </x:c>
      <x:c r="B63" s="41" t="str">
        <x:v>Aktiva 150</x:v>
      </x:c>
      <x:c r="C63" s="41" t="n">
        <x:v>2</x:v>
      </x:c>
      <x:c r="D63" s="30" t="str">
        <x:v>Lateral 3/4</x:v>
      </x:c>
      <x:c r="E63" s="30" t="str">
        <x:v>https://images.ctfassets.net/8zlbnewncp6f/57xTA1pkKJUqMIYz2ub0xI/b60fca46343ae2f1b32847e56c630117/Imagen_principal.png?fit=pad&amp;fm=webp&amp;h=1200&amp;q=95&amp;w=1600</x:v>
      </x:c>
      <x:c r="F63" s="30" t="str">
        <x:v>https://www.galgo.com/mx/motos/MX2611-zmoto-aktiva-150</x:v>
      </x:c>
      <x:c r="G63" s="41" t="str">
        <x:v>APROBADA</x:v>
      </x:c>
      <x:c r="H63" s="30" t="str">
        <x:v>Vehículo completo y ángulo diferente.</x:v>
      </x:c>
    </x:row>
    <x:row r="64" ht="38" customHeight="1">
      <x:c r="A64" s="41" t="n">
        <x:v>63</x:v>
      </x:c>
      <x:c r="B64" s="41" t="str">
        <x:v>Aktiva 150</x:v>
      </x:c>
      <x:c r="C64" s="41" t="n">
        <x:v>3</x:v>
      </x:c>
      <x:c r="D64" s="30" t="str">
        <x:v>Trasera 3/4 izquierda</x:v>
      </x:c>
      <x:c r="E64" s="30" t="str">
        <x:v>https://images.ctfassets.net/8zlbnewncp6f/307MYotruKqtRzCn6lZv6X/eefc3bffddcf574460f8fb74d5d1360f/Galeria2.png?fit=pad&amp;fm=webp&amp;h=1200&amp;q=95&amp;w=1600</x:v>
      </x:c>
      <x:c r="F64" s="30" t="str">
        <x:v>https://www.galgo.com/mx/motos/MX2611-zmoto-aktiva-150</x:v>
      </x:c>
      <x:c r="G64" s="41" t="str">
        <x:v>APROBADA</x:v>
      </x:c>
      <x:c r="H64" s="30" t="str">
        <x:v>Vehículo completo y ángulo diferente.</x:v>
      </x:c>
    </x:row>
    <x:row r="65" ht="38" customHeight="1">
      <x:c r="A65" s="41" t="n">
        <x:v>64</x:v>
      </x:c>
      <x:c r="B65" s="41" t="str">
        <x:v>Aktiva 150</x:v>
      </x:c>
      <x:c r="C65" s="41" t="n">
        <x:v>4</x:v>
      </x:c>
      <x:c r="D65" s="30" t="str">
        <x:v>Trasera 3/4 derecha</x:v>
      </x:c>
      <x:c r="E65" s="30" t="str">
        <x:v>https://images.ctfassets.net/8zlbnewncp6f/7aMskOUlIsbXozKK0McJzc/524d9ba196830852d070b6b6515c0f20/Galeria2.png?fit=pad&amp;fm=webp&amp;h=1200&amp;q=95&amp;w=1600</x:v>
      </x:c>
      <x:c r="F65" s="30" t="str">
        <x:v>https://www.galgo.com/mx/motos/MX2611-zmoto-aktiva-150</x:v>
      </x:c>
      <x:c r="G65" s="41" t="str">
        <x:v>APROBADA</x:v>
      </x:c>
      <x:c r="H65" s="30" t="str">
        <x:v>Vehículo completo y ángulo diferente.</x:v>
      </x:c>
    </x:row>
    <x:row r="66" ht="38" customHeight="1">
      <x:c r="A66" s="41" t="n">
        <x:v>65</x:v>
      </x:c>
      <x:c r="B66" s="41" t="str">
        <x:v>Rapid 150</x:v>
      </x:c>
      <x:c r="C66" s="41" t="n">
        <x:v>1</x:v>
      </x:c>
      <x:c r="D66" s="30" t="str">
        <x:v>Frontal 3/4 azul</x:v>
      </x:c>
      <x:c r="E66" s="30" t="str">
        <x:v>https://images.ctfassets.net/8zlbnewncp6f/5TYgWLuQ75seD5n9THFLL1/1203c7a4f84b00f55bcf2dd020ca4b80/ZMoto_Rapid_150_2025_Imagen_principal_Galgo_M%C3%A9xico.png?fit=pad&amp;fm=webp&amp;h=1200&amp;q=95&amp;w=1600</x:v>
      </x:c>
      <x:c r="F66" s="30" t="str">
        <x:v>https://www.galgo.com/mx/motos/MX2685-zmoto-rapid-150</x:v>
      </x:c>
      <x:c r="G66" s="41" t="str">
        <x:v>APROBADA</x:v>
      </x:c>
      <x:c r="H66" s="30" t="str">
        <x:v>Vehículo completo y ángulo diferente.</x:v>
      </x:c>
    </x:row>
    <x:row r="67" ht="38" customHeight="1">
      <x:c r="A67" s="41" t="n">
        <x:v>66</x:v>
      </x:c>
      <x:c r="B67" s="41" t="str">
        <x:v>Rapid 150</x:v>
      </x:c>
      <x:c r="C67" s="41" t="n">
        <x:v>2</x:v>
      </x:c>
      <x:c r="D67" s="30" t="str">
        <x:v>Frontal 3/4 negro</x:v>
      </x:c>
      <x:c r="E67" s="30" t="str">
        <x:v>https://images.ctfassets.net/8zlbnewncp6f/O3WZAFadj2yUBWQB1jOTP/603f5e6f3ae3491a99b9d20eafde5e60/ZMoto_Rapid_150_2025_Galeria1_Galgo_M%C3%A9xico.png?fit=pad&amp;fm=webp&amp;h=1200&amp;q=95&amp;w=1600</x:v>
      </x:c>
      <x:c r="F67" s="30" t="str">
        <x:v>https://www.galgo.com/mx/motos/MX2685-zmoto-rapid-150</x:v>
      </x:c>
      <x:c r="G67" s="41" t="str">
        <x:v>APROBADA</x:v>
      </x:c>
      <x:c r="H67" s="30" t="str">
        <x:v>Vehículo completo y ángulo diferente.</x:v>
      </x:c>
    </x:row>
    <x:row r="68" ht="38" customHeight="1">
      <x:c r="A68" s="41" t="n">
        <x:v>67</x:v>
      </x:c>
      <x:c r="B68" s="41" t="str">
        <x:v>Rapid 150</x:v>
      </x:c>
      <x:c r="C68" s="41" t="n">
        <x:v>3</x:v>
      </x:c>
      <x:c r="D68" s="30" t="str">
        <x:v>Rodando frontal</x:v>
      </x:c>
      <x:c r="E68" s="30" t="str">
        <x:v>https://images.ctfassets.net/8zlbnewncp6f/5oLm68ibfA76rEw3EmDf7n/cba3b4cdb94a881315053023c734a54a/Zmoto_Rapid_150_Lifestyle1_Galgo.png?fm=webp&amp;q=100&amp;w=1600</x:v>
      </x:c>
      <x:c r="F68" s="30" t="str">
        <x:v>https://www.galgo.com/mx/motos/MX2685-zmoto-rapid-150</x:v>
      </x:c>
      <x:c r="G68" s="41" t="str">
        <x:v>APROBADA</x:v>
      </x:c>
      <x:c r="H68" s="30" t="str">
        <x:v>Vehículo completo y ángulo diferente.</x:v>
      </x:c>
    </x:row>
    <x:row r="69" ht="38" customHeight="1">
      <x:c r="A69" s="41" t="n">
        <x:v>68</x:v>
      </x:c>
      <x:c r="B69" s="41" t="str">
        <x:v>Rapid 150</x:v>
      </x:c>
      <x:c r="C69" s="41" t="n">
        <x:v>4</x:v>
      </x:c>
      <x:c r="D69" s="30" t="str">
        <x:v>Lateral</x:v>
      </x:c>
      <x:c r="E69" s="30" t="str">
        <x:v>https://images.ctfassets.net/8zlbnewncp6f/5wOjwTKPvYxaTzxqVuzQg/fdc400df6acdb5f5b3c878505357024d/Zmoto_Rapid_150_Lifestyle2_Galgo.png?fm=webp&amp;q=100&amp;w=1600</x:v>
      </x:c>
      <x:c r="F69" s="30" t="str">
        <x:v>https://www.galgo.com/mx/motos/MX2685-zmoto-rapid-150</x:v>
      </x:c>
      <x:c r="G69" s="41" t="str">
        <x:v>APROBADA</x:v>
      </x:c>
      <x:c r="H69" s="30" t="str">
        <x:v>Vehículo completo y ángulo diferente.</x:v>
      </x:c>
    </x:row>
  </x:sheetData>
  <x:conditionalFormatting sqref="G2:G69">
    <x:cfRule type="expression" dxfId="2" priority="1">
      <x:formula>G2="REVISAR"</x:formula>
    </x:cfRule>
    <x:cfRule type="expression" dxfId="3" priority="2">
      <x:formula>G2="APROBADA"</x:formula>
    </x:cfRule>
  </x:conditionalFormatting>
  <x:pageMargins left="0.7" right="0.7" top="0.75" bottom="0.75" header="0.3" footer="0.3"/>
</x:worksheet>
</file>