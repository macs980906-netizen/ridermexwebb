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8b980711fe4e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faa14c9c897d4db3"/>
    <x:sheet xmlns:r="http://schemas.openxmlformats.org/officeDocument/2006/relationships" name="FICHAS_TECNICAS" sheetId="2" r:id="R01f4703b6bc24a5d"/>
    <x:sheet xmlns:r="http://schemas.openxmlformats.org/officeDocument/2006/relationships" name="GALERIA" sheetId="3" r:id="R10d0f28431944b3a"/>
    <x:sheet xmlns:r="http://schemas.openxmlformats.org/officeDocument/2006/relationships" name="CONTROL_FOTOS" sheetId="4" r:id="R139426e9310e4f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  <x:font>
      <x:i/>
      <x:sz val="11"/>
      <x:name val="Carlito"/>
    </x:font>
    <x:font>
      <x:b/>
      <x:sz val="11"/>
      <x:name val="Carlito"/>
    </x:font>
    <x:font>
      <x:b/>
      <x:sz val="11"/>
      <x:color rgb="FF1D4ED8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C8102E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  <x:fill>
      <x:patternFill patternType="solid">
        <x:fgColor rgb="FFFAFAFA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left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left"/>
    </x:xf>
    <x:xf numFmtId="0" fontId="1" fillId="3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f696e1660941a3" /><Relationship Type="http://schemas.openxmlformats.org/officeDocument/2006/relationships/theme" Target="/xl/theme/theme1.xml" Id="Rd7ca4b7aa74b4996" /><Relationship Type="http://schemas.openxmlformats.org/officeDocument/2006/relationships/sharedStrings" Target="/xl/sharedStrings.xml" Id="Rcbbb48500b164342" /><Relationship Type="http://schemas.openxmlformats.org/officeDocument/2006/relationships/worksheet" Target="/xl/worksheets/sheet1.xml" Id="Rfaa14c9c897d4db3" /><Relationship Type="http://schemas.openxmlformats.org/officeDocument/2006/relationships/worksheet" Target="/xl/worksheets/sheet2.xml" Id="R01f4703b6bc24a5d" /><Relationship Type="http://schemas.openxmlformats.org/officeDocument/2006/relationships/worksheet" Target="/xl/worksheets/sheet3.xml" Id="R10d0f28431944b3a" /><Relationship Type="http://schemas.openxmlformats.org/officeDocument/2006/relationships/worksheet" Target="/xl/worksheets/sheet4.xml" Id="R139426e9310e4f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0" customHeight="1">
      <x:c r="A1" s="4" t="str">
        <x:v>CATÁLOGO ISLO — FICHAS TÉCNICAS Y FOTOGRAFÍAS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10" t="str">
        <x:v>Preparado para RiderMex • 6 modelos • 24 fotografías revisadas visualmente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>
      <x:c r="A5" s="16" t="str">
        <x:v>RESUMEN</x:v>
      </x:c>
      <x:c r="B5" s="16" t="str">
        <x:v>VALOR</x:v>
      </x:c>
      <x:c r="D5" s="16" t="str">
        <x:v>CÓMO USAR ESTE ARCHIVO</x:v>
      </x:c>
      <x:c r="E5" s="16"/>
      <x:c r="F5" s="16"/>
      <x:c r="G5" s="16"/>
      <x:c r="H5" s="16"/>
      <x:c r="I5" s="16"/>
      <x:c r="J5" s="16"/>
    </x:row>
    <x:row r="6" ht="24" customHeight="1">
      <x:c r="A6" t="str">
        <x:v>Modelos</x:v>
      </x:c>
      <x:c r="B6" t="n">
        <x:v>6</x:v>
      </x:c>
      <x:c r="D6" s="22" t="str">
        <x:v>1. FICHAS_TECNICAS reúne los datos comparables y las fuentes.
2. GALERIA muestra cuatro fotografías por modelo con la moto completa y ángulos diferentes.
3. CONTROL_FOTOS registra la toma, URL original y archivo incluido en el ZIP.
4. La galería usa la función IMAGE de Excel 365/Excel web; el ZIP contiene las imágenes originales.
5. Las celdas REVISAR indican inconsistencias detectadas entre fichas públicas.</x:v>
      </x:c>
      <x:c r="E6" s="22"/>
      <x:c r="F6" s="22"/>
      <x:c r="G6" s="22"/>
      <x:c r="H6" s="22"/>
      <x:c r="I6" s="22"/>
      <x:c r="J6" s="22"/>
    </x:row>
    <x:row r="7" ht="24" customHeight="1">
      <x:c r="A7" t="str">
        <x:v>Fotografías</x:v>
      </x:c>
      <x:c r="B7" t="n">
        <x:v>24</x:v>
      </x:c>
      <x:c r="D7" s="22"/>
      <x:c r="E7" s="22"/>
      <x:c r="F7" s="22"/>
      <x:c r="G7" s="22"/>
      <x:c r="H7" s="22"/>
      <x:c r="I7" s="22"/>
      <x:c r="J7" s="22"/>
    </x:row>
    <x:row r="8" ht="24" customHeight="1">
      <x:c r="A8" t="str">
        <x:v>Fotos por modelo</x:v>
      </x:c>
      <x:c r="B8" t="n">
        <x:v>4</x:v>
      </x:c>
      <x:c r="D8" s="22"/>
      <x:c r="E8" s="22"/>
      <x:c r="F8" s="22"/>
      <x:c r="G8" s="22"/>
      <x:c r="H8" s="22"/>
      <x:c r="I8" s="22"/>
      <x:c r="J8" s="22"/>
    </x:row>
    <x:row r="9" ht="24" customHeight="1">
      <x:c r="A9" t="str">
        <x:v>Fuente fotográfica principal</x:v>
      </x:c>
      <x:c r="B9" t="str">
        <x:v>ISLO oficial</x:v>
      </x:c>
      <x:c r="D9" s="22"/>
      <x:c r="E9" s="22"/>
      <x:c r="F9" s="22"/>
      <x:c r="G9" s="22"/>
      <x:c r="H9" s="22"/>
      <x:c r="I9" s="22"/>
      <x:c r="J9" s="22"/>
    </x:row>
    <x:row r="10" ht="24" customHeight="1">
      <x:c r="D10" s="22"/>
      <x:c r="E10" s="22"/>
      <x:c r="F10" s="22"/>
      <x:c r="G10" s="22"/>
      <x:c r="H10" s="22"/>
      <x:c r="I10" s="22"/>
      <x:c r="J10" s="22"/>
    </x:row>
    <x:row r="11" ht="24" customHeight="1">
      <x:c r="D11" s="22"/>
      <x:c r="E11" s="22"/>
      <x:c r="F11" s="22"/>
      <x:c r="G11" s="22"/>
      <x:c r="H11" s="22"/>
      <x:c r="I11" s="22"/>
      <x:c r="J11" s="22"/>
    </x:row>
    <x:row r="13">
      <x:c r="A13" s="27" t="str">
        <x:v>CONTROL DE CALIDAD APLICADO</x:v>
      </x:c>
      <x:c r="B13" s="27"/>
      <x:c r="C13" s="27"/>
      <x:c r="D13" s="27"/>
      <x:c r="E13" s="27"/>
      <x:c r="F13" s="27"/>
      <x:c r="G13" s="27"/>
      <x:c r="H13" s="27"/>
      <x:c r="I13" s="27"/>
      <x:c r="J13" s="27"/>
    </x:row>
    <x:row r="14" ht="24" customHeight="1">
      <x:c r="A14" s="32" t="str">
        <x:v>Se comprobó visualmente que cada foto corresponda al modelo exacto, muestre la motocicleta completa y aporte un ángulo diferente. Se evitaron recortes de accesorios y repeticiones del mismo costado. Las fichas técnicas provienen principalmente del sitio oficial de ISLO.</x:v>
      </x:c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 ht="24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 ht="24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 ht="24" customHeight="1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 ht="24" customHeight="1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</x:sheetData>
  <x:mergeCells>
    <x:mergeCell ref="A1:J2"/>
    <x:mergeCell ref="A3:J3"/>
    <x:mergeCell ref="D5:J5"/>
    <x:mergeCell ref="D6:J11"/>
    <x:mergeCell ref="A13:J13"/>
    <x:mergeCell ref="A14:J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18" hidden="0" customWidth="1"/>
    <x:col min="4" max="4" width="16" hidden="0" customWidth="1"/>
    <x:col min="5" max="5" width="12" hidden="0" customWidth="1"/>
    <x:col min="6" max="6" width="19" hidden="0" customWidth="1"/>
    <x:col min="7" max="7" width="16" hidden="0" customWidth="1"/>
    <x:col min="8" max="8" width="24" hidden="0" customWidth="1"/>
    <x:col min="9" max="9" width="14" hidden="0" customWidth="1"/>
    <x:col min="10" max="10" width="18" hidden="0" customWidth="1"/>
    <x:col min="11" max="11" width="22" hidden="0" customWidth="1"/>
    <x:col min="12" max="12" width="25" hidden="0" customWidth="1"/>
    <x:col min="13" max="13" width="20" hidden="0" customWidth="1"/>
    <x:col min="14" max="14" width="20" hidden="0" customWidth="1"/>
    <x:col min="15" max="15" width="10" hidden="0" customWidth="1"/>
    <x:col min="16" max="16" width="18" hidden="0" customWidth="1"/>
    <x:col min="17" max="17" width="18" hidden="0" customWidth="1"/>
    <x:col min="18" max="18" width="10" hidden="0" customWidth="1"/>
    <x:col min="19" max="19" width="16" hidden="0" customWidth="1"/>
    <x:col min="20" max="20" width="25" hidden="0" customWidth="1"/>
    <x:col min="21" max="21" width="20" hidden="0" customWidth="1"/>
    <x:col min="22" max="22" width="16" hidden="0" customWidth="1"/>
    <x:col min="23" max="23" width="20" hidden="0" customWidth="1"/>
    <x:col min="24" max="24" width="24" hidden="0" customWidth="1"/>
    <x:col min="25" max="25" width="40" hidden="0" customWidth="1"/>
    <x:col min="26" max="26" width="22" hidden="0" customWidth="1"/>
    <x:col min="27" max="27" width="55" hidden="0" customWidth="1"/>
    <x:col min="28" max="28" width="50" hidden="0" customWidth="1"/>
    <x:col min="29" max="29" width="50" hidden="0" customWidth="1"/>
  </x:cols>
  <x:sheetData>
    <x:row r="1">
      <x:c r="A1" s="16" t="str">
        <x:v>No.</x:v>
      </x:c>
      <x:c r="B1" s="16" t="str">
        <x:v>Marca</x:v>
      </x:c>
      <x:c r="C1" s="16" t="str">
        <x:v>Modelo</x:v>
      </x:c>
      <x:c r="D1" s="16" t="str">
        <x:v>Categoría</x:v>
      </x:c>
      <x:c r="E1" s="16" t="str">
        <x:v>Cilindrada</x:v>
      </x:c>
      <x:c r="F1" s="16" t="str">
        <x:v>Potencia</x:v>
      </x:c>
      <x:c r="G1" s="16" t="str">
        <x:v>Torque</x:v>
      </x:c>
      <x:c r="H1" s="16" t="str">
        <x:v>Motor</x:v>
      </x:c>
      <x:c r="I1" s="16" t="str">
        <x:v>Refrigeración</x:v>
      </x:c>
      <x:c r="J1" s="16" t="str">
        <x:v>Arranque</x:v>
      </x:c>
      <x:c r="K1" s="16" t="str">
        <x:v>Transmisión</x:v>
      </x:c>
      <x:c r="L1" s="16" t="str">
        <x:v>Embrague</x:v>
      </x:c>
      <x:c r="M1" s="16" t="str">
        <x:v>Freno delantero</x:v>
      </x:c>
      <x:c r="N1" s="16" t="str">
        <x:v>Freno trasero</x:v>
      </x:c>
      <x:c r="O1" s="16" t="str">
        <x:v>Rines</x:v>
      </x:c>
      <x:c r="P1" s="16" t="str">
        <x:v>Neumático delantero</x:v>
      </x:c>
      <x:c r="Q1" s="16" t="str">
        <x:v>Neumático trasero</x:v>
      </x:c>
      <x:c r="R1" s="16" t="str">
        <x:v>Tanque</x:v>
      </x:c>
      <x:c r="S1" s="16" t="str">
        <x:v>Rendimiento</x:v>
      </x:c>
      <x:c r="T1" s="16" t="str">
        <x:v>Peso</x:v>
      </x:c>
      <x:c r="U1" s="16" t="str">
        <x:v>Dimensiones (L×A×H)</x:v>
      </x:c>
      <x:c r="V1" s="16" t="str">
        <x:v>Capacidad de carga</x:v>
      </x:c>
      <x:c r="W1" s="16" t="str">
        <x:v>Tablero</x:v>
      </x:c>
      <x:c r="X1" s="16" t="str">
        <x:v>Iluminación</x:v>
      </x:c>
      <x:c r="Y1" s="16" t="str">
        <x:v>Equipamiento destacado</x:v>
      </x:c>
      <x:c r="Z1" s="16" t="str">
        <x:v>Estatus técnico</x:v>
      </x:c>
      <x:c r="AA1" s="16" t="str">
        <x:v>Observación de control</x:v>
      </x:c>
      <x:c r="AB1" s="16" t="str">
        <x:v>Fuente técnica</x:v>
      </x:c>
      <x:c r="AC1" s="16" t="str">
        <x:v>Fuente secundaria</x:v>
      </x:c>
    </x:row>
    <x:row r="2" ht="78" customHeight="1">
      <x:c r="A2" s="40" t="n">
        <x:v>1</x:v>
      </x:c>
      <x:c r="B2" s="40" t="str">
        <x:v>ISLO</x:v>
      </x:c>
      <x:c r="C2" s="40" t="str">
        <x:v>Rabbit Rush</x:v>
      </x:c>
      <x:c r="D2" s="40" t="str">
        <x:v>Motoneta</x:v>
      </x:c>
      <x:c r="E2" s="40" t="str">
        <x:v>149.5 cc</x:v>
      </x:c>
      <x:c r="F2" s="40" t="str">
        <x:v>7 hp @ 7,500 rpm</x:v>
      </x:c>
      <x:c r="G2" s="40" t="str">
        <x:v>10.8 Nm (Galgo)</x:v>
      </x:c>
      <x:c r="H2" s="40" t="str">
        <x:v>Monocilíndrico, 4 tiempos</x:v>
      </x:c>
      <x:c r="I2" s="40" t="str">
        <x:v>Aire</x:v>
      </x:c>
      <x:c r="J2" s="40" t="str">
        <x:v>Eléctrico y patada</x:v>
      </x:c>
      <x:c r="K2" s="40" t="str">
        <x:v>Automática por variador</x:v>
      </x:c>
      <x:c r="L2" s="40" t="str">
        <x:v>Centrífugo</x:v>
      </x:c>
      <x:c r="M2" s="40" t="str">
        <x:v>Mecánico por expansión</x:v>
      </x:c>
      <x:c r="N2" s="40" t="str">
        <x:v>Mecánico por expansión</x:v>
      </x:c>
      <x:c r="O2" s="40" t="str">
        <x:v>Aleación</x:v>
      </x:c>
      <x:c r="P2" s="40" t="str">
        <x:v>2.15-10</x:v>
      </x:c>
      <x:c r="Q2" s="40" t="str">
        <x:v>2.15-10</x:v>
      </x:c>
      <x:c r="R2" s="40" t="str">
        <x:v>4 L</x:v>
      </x:c>
      <x:c r="S2" s="40" t="str">
        <x:v>2.8 L/100 km</x:v>
      </x:c>
      <x:c r="T2" s="40" t="str">
        <x:v>106 kg</x:v>
      </x:c>
      <x:c r="U2" s="40" t="str">
        <x:v>205 × 71 × 125 cm</x:v>
      </x:c>
      <x:c r="V2" s="40" t="str">
        <x:v>150 kg</x:v>
      </x:c>
      <x:c r="W2" s="40" t="str">
        <x:v>Digital personalizable</x:v>
      </x:c>
      <x:c r="X2" s="40" t="str">
        <x:v>Híbrida LED/halógena</x:v>
      </x:c>
      <x:c r="Y2" s="40" t="str">
        <x:v>Crashbar, cubrepuños, bloqueo de llave, compartimentos, USB y parrilla</x:v>
      </x:c>
      <x:c r="Z2" s="44" t="str">
        <x:v>REVISAR RENDIMIENTO</x:v>
      </x:c>
      <x:c r="AA2" s="40" t="str">
        <x:v>Se tomó como principal la ficha oficial ISLO. Galgo muestra 50 km/L y dimensiones distintas; confirmar año/versión antes de publicar.</x:v>
      </x:c>
      <x:c r="AB2" s="40" t="str">
        <x:v>https://www.islo.com.mx/producto/rabbit-ruch/</x:v>
      </x:c>
      <x:c r="AC2" s="40" t="str">
        <x:v>https://www.galgo.com/mx/motos/MX2906-carabela-islo-rabbit</x:v>
      </x:c>
    </x:row>
    <x:row r="3" ht="78" customHeight="1">
      <x:c r="A3" s="37" t="n">
        <x:v>2</x:v>
      </x:c>
      <x:c r="B3" s="37" t="str">
        <x:v>ISLO</x:v>
      </x:c>
      <x:c r="C3" s="37" t="str">
        <x:v>Trip 150</x:v>
      </x:c>
      <x:c r="D3" s="37" t="str">
        <x:v>Utilitaria</x:v>
      </x:c>
      <x:c r="E3" s="37" t="str">
        <x:v>149.5 cc</x:v>
      </x:c>
      <x:c r="F3" s="37" t="str">
        <x:v>9.6 hp @ 8,500 rpm</x:v>
      </x:c>
      <x:c r="G3" s="37" t="str">
        <x:v>N/D</x:v>
      </x:c>
      <x:c r="H3" s="37" t="str">
        <x:v>Monocilíndrico, 4 tiempos</x:v>
      </x:c>
      <x:c r="I3" s="37" t="str">
        <x:v>Aire</x:v>
      </x:c>
      <x:c r="J3" s="37" t="str">
        <x:v>Eléctrico y patada</x:v>
      </x:c>
      <x:c r="K3" s="37" t="str">
        <x:v>Manual, 5 velocidades</x:v>
      </x:c>
      <x:c r="L3" s="37" t="str">
        <x:v>Multidisco en baño de aceite</x:v>
      </x:c>
      <x:c r="M3" s="37" t="str">
        <x:v>Disco ventilado</x:v>
      </x:c>
      <x:c r="N3" s="37" t="str">
        <x:v>Mecánico por expansión</x:v>
      </x:c>
      <x:c r="O3" s="37" t="str">
        <x:v>Aleación</x:v>
      </x:c>
      <x:c r="P3" s="37" t="str">
        <x:v>2.75-18</x:v>
      </x:c>
      <x:c r="Q3" s="37" t="str">
        <x:v>90/90-18</x:v>
      </x:c>
      <x:c r="R3" s="37" t="str">
        <x:v>9 L</x:v>
      </x:c>
      <x:c r="S3" s="37" t="str">
        <x:v>38 km/L</x:v>
      </x:c>
      <x:c r="T3" s="37" t="str">
        <x:v>95 kg</x:v>
      </x:c>
      <x:c r="U3" s="37" t="str">
        <x:v>198 × 77 × 114 cm</x:v>
      </x:c>
      <x:c r="V3" s="37" t="str">
        <x:v>150 kg</x:v>
      </x:c>
      <x:c r="W3" s="37" t="str">
        <x:v>Híbrido análogo/digital</x:v>
      </x:c>
      <x:c r="X3" s="37" t="str">
        <x:v>LED/DRL</x:v>
      </x:c>
      <x:c r="Y3" s="37" t="str">
        <x:v>Parrilla de carga, amortiguadores reforzados y puerto USB</x:v>
      </x:c>
      <x:c r="Z3" s="48" t="str">
        <x:v>APROBADA</x:v>
      </x:c>
      <x:c r="AA3" s="37" t="str">
        <x:v>Ficha y fotografías verificadas en la página oficial ISLO.</x:v>
      </x:c>
      <x:c r="AB3" s="37" t="str">
        <x:v>https://www.islo.com.mx/producto/trip-150/</x:v>
      </x:c>
      <x:c r="AC3" s="37" t="str"/>
    </x:row>
    <x:row r="4" ht="78" customHeight="1">
      <x:c r="A4" s="40" t="n">
        <x:v>3</x:v>
      </x:c>
      <x:c r="B4" s="40" t="str">
        <x:v>ISLO</x:v>
      </x:c>
      <x:c r="C4" s="40" t="str">
        <x:v>Freedom</x:v>
      </x:c>
      <x:c r="D4" s="40" t="str">
        <x:v>Utilitaria</x:v>
      </x:c>
      <x:c r="E4" s="40" t="str">
        <x:v>149.5 cc</x:v>
      </x:c>
      <x:c r="F4" s="40" t="str">
        <x:v>10.4 hp @ 7,000 rpm</x:v>
      </x:c>
      <x:c r="G4" s="40" t="str">
        <x:v>N/D</x:v>
      </x:c>
      <x:c r="H4" s="40" t="str">
        <x:v>Monocilíndrico, 4 tiempos, 4V</x:v>
      </x:c>
      <x:c r="I4" s="40" t="str">
        <x:v>Aire</x:v>
      </x:c>
      <x:c r="J4" s="40" t="str">
        <x:v>Eléctrico y patada</x:v>
      </x:c>
      <x:c r="K4" s="40" t="str">
        <x:v>Manual, 5 velocidades</x:v>
      </x:c>
      <x:c r="L4" s="40" t="str">
        <x:v>Multidisco en baño de aceite</x:v>
      </x:c>
      <x:c r="M4" s="40" t="str">
        <x:v>Mecánico por expansión</x:v>
      </x:c>
      <x:c r="N4" s="40" t="str">
        <x:v>Mecánico por expansión</x:v>
      </x:c>
      <x:c r="O4" s="40" t="str">
        <x:v>Rayos</x:v>
      </x:c>
      <x:c r="P4" s="40" t="str">
        <x:v>2.75-18</x:v>
      </x:c>
      <x:c r="Q4" s="40" t="str">
        <x:v>90/90-18</x:v>
      </x:c>
      <x:c r="R4" s="40" t="str">
        <x:v>14.5 L</x:v>
      </x:c>
      <x:c r="S4" s="40" t="str">
        <x:v>38 km/L</x:v>
      </x:c>
      <x:c r="T4" s="40" t="str">
        <x:v>92 kg (resumen) / 130 kg (tabla)</x:v>
      </x:c>
      <x:c r="U4" s="40" t="str">
        <x:v>203 × 79 × 114 cm</x:v>
      </x:c>
      <x:c r="V4" s="40" t="str">
        <x:v>150 kg</x:v>
      </x:c>
      <x:c r="W4" s="40" t="str">
        <x:v>Análogo</x:v>
      </x:c>
      <x:c r="X4" s="40" t="str">
        <x:v>Halógena</x:v>
      </x:c>
      <x:c r="Y4" s="40" t="str">
        <x:v>Llave antirrobo, parrilla reforzada y amortiguadores reforzados</x:v>
      </x:c>
      <x:c r="Z4" s="44" t="str">
        <x:v>REVISAR PESO</x:v>
      </x:c>
      <x:c r="AA4" s="40" t="str">
        <x:v>La página oficial ISLO muestra 92 kg en el resumen y 130 kg en la tabla detallada. Confirmar con la marca antes de publicar.</x:v>
      </x:c>
      <x:c r="AB4" s="40" t="str">
        <x:v>https://www.islo.com.mx/producto/freedom/</x:v>
      </x:c>
      <x:c r="AC4" s="40" t="str"/>
    </x:row>
    <x:row r="5" ht="78" customHeight="1">
      <x:c r="A5" s="37" t="n">
        <x:v>4</x:v>
      </x:c>
      <x:c r="B5" s="37" t="str">
        <x:v>ISLO</x:v>
      </x:c>
      <x:c r="C5" s="37" t="str">
        <x:v>Mutant 250R</x:v>
      </x:c>
      <x:c r="D5" s="37" t="str">
        <x:v>Street</x:v>
      </x:c>
      <x:c r="E5" s="37" t="str">
        <x:v>250 cc</x:v>
      </x:c>
      <x:c r="F5" s="37" t="str">
        <x:v>16 hp @ 7,000 rpm</x:v>
      </x:c>
      <x:c r="G5" s="37" t="str">
        <x:v>20 Nm (Galgo)</x:v>
      </x:c>
      <x:c r="H5" s="37" t="str">
        <x:v>Monocilíndrico, 4 tiempos, 4V</x:v>
      </x:c>
      <x:c r="I5" s="37" t="str">
        <x:v>Aire</x:v>
      </x:c>
      <x:c r="J5" s="37" t="str">
        <x:v>Eléctrico y patada</x:v>
      </x:c>
      <x:c r="K5" s="37" t="str">
        <x:v>Manual, 5 velocidades</x:v>
      </x:c>
      <x:c r="L5" s="37" t="str">
        <x:v>Multidisco en baño de aceite</x:v>
      </x:c>
      <x:c r="M5" s="37" t="str">
        <x:v>Disco ventilado</x:v>
      </x:c>
      <x:c r="N5" s="37" t="str">
        <x:v>Mecánico por expansión</x:v>
      </x:c>
      <x:c r="O5" s="37" t="str">
        <x:v>Aleación</x:v>
      </x:c>
      <x:c r="P5" s="37" t="str">
        <x:v>10/80-16</x:v>
      </x:c>
      <x:c r="Q5" s="37" t="str">
        <x:v>120/70-17</x:v>
      </x:c>
      <x:c r="R5" s="37" t="str">
        <x:v>12 L</x:v>
      </x:c>
      <x:c r="S5" s="37" t="str">
        <x:v>25 km/L</x:v>
      </x:c>
      <x:c r="T5" s="37" t="str">
        <x:v>120 kg</x:v>
      </x:c>
      <x:c r="U5" s="37" t="str">
        <x:v>254 × 82 × 116 cm</x:v>
      </x:c>
      <x:c r="V5" s="37" t="str">
        <x:v>150 kg</x:v>
      </x:c>
      <x:c r="W5" s="37" t="str">
        <x:v>Digital</x:v>
      </x:c>
      <x:c r="X5" s="37" t="str">
        <x:v>Halógena (ficha); LED/DRL en descripción</x:v>
      </x:c>
      <x:c r="Y5" s="37" t="str">
        <x:v>Crashbar, sliders, USB, amortiguadores reforzados y respaldo de pasajero</x:v>
      </x:c>
      <x:c r="Z5" s="48" t="str">
        <x:v>APROBADA CON NOTA</x:v>
      </x:c>
      <x:c r="AA5" s="37" t="str">
        <x:v>La descripción comercial menciona LED/DRL, pero el apartado de equipamiento de la misma ficha dice iluminación halógena.</x:v>
      </x:c>
      <x:c r="AB5" s="37" t="str">
        <x:v>https://www.islo.com.mx/producto/mutant-250r/</x:v>
      </x:c>
      <x:c r="AC5" s="37" t="str">
        <x:v>https://www.galgo.com/mx/motos/MX3101-islo-mutant-250r</x:v>
      </x:c>
    </x:row>
    <x:row r="6" ht="78" customHeight="1">
      <x:c r="A6" s="40" t="n">
        <x:v>5</x:v>
      </x:c>
      <x:c r="B6" s="40" t="str">
        <x:v>ISLO</x:v>
      </x:c>
      <x:c r="C6" s="40" t="str">
        <x:v>Blackwing</x:v>
      </x:c>
      <x:c r="D6" s="40" t="str">
        <x:v>Crucero</x:v>
      </x:c>
      <x:c r="E6" s="40" t="str">
        <x:v>250 cc</x:v>
      </x:c>
      <x:c r="F6" s="40" t="str">
        <x:v>17.8 hp @ 8,500 rpm</x:v>
      </x:c>
      <x:c r="G6" s="40" t="str">
        <x:v>N/D</x:v>
      </x:c>
      <x:c r="H6" s="40" t="str">
        <x:v>Monocilíndrico, 4 tiempos, 4V</x:v>
      </x:c>
      <x:c r="I6" s="40" t="str">
        <x:v>Radiador de aceite</x:v>
      </x:c>
      <x:c r="J6" s="40" t="str">
        <x:v>Eléctrico y patada</x:v>
      </x:c>
      <x:c r="K6" s="40" t="str">
        <x:v>Manual, 5 velocidades</x:v>
      </x:c>
      <x:c r="L6" s="40" t="str">
        <x:v>Multidisco en baño de aceite</x:v>
      </x:c>
      <x:c r="M6" s="40" t="str">
        <x:v>Disco ventilado</x:v>
      </x:c>
      <x:c r="N6" s="40" t="str">
        <x:v>Mecánico por expansión</x:v>
      </x:c>
      <x:c r="O6" s="40" t="str">
        <x:v>Rayos</x:v>
      </x:c>
      <x:c r="P6" s="40" t="str">
        <x:v>110/90-16</x:v>
      </x:c>
      <x:c r="Q6" s="40" t="str">
        <x:v>120/90-15</x:v>
      </x:c>
      <x:c r="R6" s="40" t="str">
        <x:v>15 L</x:v>
      </x:c>
      <x:c r="S6" s="40" t="str">
        <x:v>24 km/L</x:v>
      </x:c>
      <x:c r="T6" s="40" t="str">
        <x:v>145 kg</x:v>
      </x:c>
      <x:c r="U6" s="40" t="str">
        <x:v>226 × 88 × 111 cm</x:v>
      </x:c>
      <x:c r="V6" s="40" t="str">
        <x:v>150 kg</x:v>
      </x:c>
      <x:c r="W6" s="40" t="str">
        <x:v>Análogo</x:v>
      </x:c>
      <x:c r="X6" s="40" t="str">
        <x:v>Halógena</x:v>
      </x:c>
      <x:c r="Y6" s="40" t="str">
        <x:v>Puerto USB, crashbar, sliders, amortiguadores reforzados y parrilla</x:v>
      </x:c>
      <x:c r="Z6" s="48" t="str">
        <x:v>APROBADA CON NOTA</x:v>
      </x:c>
      <x:c r="AA6" s="40" t="str">
        <x:v>La descripción habla de hasta 30 km/L y LED/DRL, mientras la tabla oficial indica 24 km/L e iluminación halógena. Se usó la tabla técnica.</x:v>
      </x:c>
      <x:c r="AB6" s="40" t="str">
        <x:v>https://www.islo.com.mx/producto/blackwing/</x:v>
      </x:c>
      <x:c r="AC6" s="40" t="str"/>
    </x:row>
    <x:row r="7" ht="78" customHeight="1">
      <x:c r="A7" s="37" t="n">
        <x:v>6</x:v>
      </x:c>
      <x:c r="B7" s="37" t="str">
        <x:v>ISLO</x:v>
      </x:c>
      <x:c r="C7" s="37" t="str">
        <x:v>Montana ADV250</x:v>
      </x:c>
      <x:c r="D7" s="37" t="str">
        <x:v>Doble propósito</x:v>
      </x:c>
      <x:c r="E7" s="37" t="str">
        <x:v>250 cc</x:v>
      </x:c>
      <x:c r="F7" s="37" t="str">
        <x:v>16 hp @ 7,000 rpm</x:v>
      </x:c>
      <x:c r="G7" s="37" t="str">
        <x:v>17.5 Nm (Galgo)</x:v>
      </x:c>
      <x:c r="H7" s="37" t="str">
        <x:v>Monocilíndrico, 4 tiempos</x:v>
      </x:c>
      <x:c r="I7" s="37" t="str">
        <x:v>Aire</x:v>
      </x:c>
      <x:c r="J7" s="37" t="str">
        <x:v>Eléctrico y patada</x:v>
      </x:c>
      <x:c r="K7" s="37" t="str">
        <x:v>Manual, 5 velocidades</x:v>
      </x:c>
      <x:c r="L7" s="37" t="str">
        <x:v>Multidisco en baño de aceite</x:v>
      </x:c>
      <x:c r="M7" s="37" t="str">
        <x:v>Disco ventilado</x:v>
      </x:c>
      <x:c r="N7" s="37" t="str">
        <x:v>Disco ventilado</x:v>
      </x:c>
      <x:c r="O7" s="37" t="str">
        <x:v>Rayos</x:v>
      </x:c>
      <x:c r="P7" s="37" t="str">
        <x:v>3.00-21</x:v>
      </x:c>
      <x:c r="Q7" s="37" t="str">
        <x:v>4.60-18</x:v>
      </x:c>
      <x:c r="R7" s="37" t="str">
        <x:v>12.5 L</x:v>
      </x:c>
      <x:c r="S7" s="37" t="str">
        <x:v>2.9 L/100 km</x:v>
      </x:c>
      <x:c r="T7" s="37" t="str">
        <x:v>141 kg</x:v>
      </x:c>
      <x:c r="U7" s="37" t="str">
        <x:v>254 × 82 × 116 cm</x:v>
      </x:c>
      <x:c r="V7" s="37" t="str">
        <x:v>150 kg</x:v>
      </x:c>
      <x:c r="W7" s="37" t="str">
        <x:v>Híbrido análogo/digital</x:v>
      </x:c>
      <x:c r="X7" s="37" t="str">
        <x:v>LED/DRL + faros auxiliares LED</x:v>
      </x:c>
      <x:c r="Y7" s="37" t="str">
        <x:v>Monoshock, crashbar, sliders, cubrepuños, USB, parrilla y llantas todo terreno</x:v>
      </x:c>
      <x:c r="Z7" s="48" t="str">
        <x:v>APROBADA CON NOTA</x:v>
      </x:c>
      <x:c r="AA7" s="37" t="str">
        <x:v>Galgo lista una versión 2025 con dimensiones diferentes y muestra 2.9 km/L, aparentemente un error de unidad. Se usó la ficha oficial ADV250.</x:v>
      </x:c>
      <x:c r="AB7" s="37" t="str">
        <x:v>https://www.islo.com.mx/producto/montana-adv-250/</x:v>
      </x:c>
      <x:c r="AC7" s="37" t="str">
        <x:v>https://www.galgo.com/mx/motos/MX3096-islo-montana-250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22" hidden="0" customWidth="1"/>
  </x:cols>
  <x:sheetData>
    <x:row r="1">
      <x:c r="A1" s="4" t="str">
        <x:v>GALERÍA ISLO — MOTOCICLETA COMPLETA Y ÁNGULOS DIFERENTES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51" t="str">
        <x:v>Las fotos se cargan desde ISLO oficial. Requiere Excel 365/Excel web para visualizar la función IMAGE.</x:v>
      </x:c>
      <x:c r="B3" s="51"/>
      <x:c r="C3" s="51"/>
      <x:c r="D3" s="51"/>
      <x:c r="E3" s="51"/>
      <x:c r="F3" s="51"/>
    </x:row>
    <x:row r="5">
      <x:c r="A5" s="27" t="str">
        <x:v>01. ISLO Rabbit Rush</x:v>
      </x:c>
      <x:c r="B5" s="27"/>
      <x:c r="C5" s="27"/>
      <x:c r="D5" s="27"/>
      <x:c r="E5" s="27"/>
      <x:c r="F5" s="27"/>
    </x:row>
    <x:row r="6">
      <x:c r="A6" s="57" t="str">
        <x:v>ÁNGULOS</x:v>
      </x:c>
      <x:c r="B6" s="57" t="str">
        <x:v>Frontal 3/4</x:v>
      </x:c>
      <x:c r="C6" s="57" t="str">
        <x:v>Frontal</x:v>
      </x:c>
      <x:c r="D6" s="57" t="str">
        <x:v>Frontal lateral</x:v>
      </x:c>
      <x:c r="E6" s="57" t="str">
        <x:v>Lateral trasera</x:v>
      </x:c>
      <x:c r="F6" s="57" t="str">
        <x:v>FICHA FUENTE</x:v>
      </x:c>
    </x:row>
    <x:row r="7" ht="170" customHeight="1">
      <x:c r="A7" s="63" t="str">
        <x:v>FOTOS</x:v>
      </x:c>
      <x:c r="B7" t="e">
        <x:f>IMAGE("https://www.islo.com.mx/wp-content/uploads/2024/11/rabbit_banner1-1400x900.jpg","Rabbit Rush foto 1",0)</x:f>
      </x:c>
      <x:c r="C7" t="e">
        <x:f>IMAGE("https://www.islo.com.mx/wp-content/uploads/2024/11/rabbit_banner2-1400x900.jpg","Rabbit Rush foto 2",0)</x:f>
      </x:c>
      <x:c r="D7" t="e">
        <x:f>IMAGE("https://www.islo.com.mx/wp-content/uploads/2024/11/rabbit_banner3-1400x900.jpg","Rabbit Rush foto 3",0)</x:f>
      </x:c>
      <x:c r="E7" t="e">
        <x:f>IMAGE("https://www.islo.com.mx/wp-content/uploads/2024/11/rabbit_banner4-1400x900.jpg","Rabbit Rush foto 4",0)</x:f>
      </x:c>
      <x:c r="F7" s="68" t="e">
        <x:f>HYPERLINK("https://www.islo.com.mx/producto/rabbit-ruch/","ABRIR FICHA")</x:f>
      </x:c>
    </x:row>
    <x:row r="8">
      <x:c r="A8" s="57" t="str">
        <x:v>DESCARGA</x:v>
      </x:c>
      <x:c r="B8" s="57" t="e">
        <x:f>HYPERLINK("https://www.islo.com.mx/wp-content/uploads/2024/11/rabbit_banner1-1400x900.jpg","ABRIR FOTO HD")</x:f>
      </x:c>
      <x:c r="C8" s="57" t="e">
        <x:f>HYPERLINK("https://www.islo.com.mx/wp-content/uploads/2024/11/rabbit_banner2-1400x900.jpg","ABRIR FOTO HD")</x:f>
      </x:c>
      <x:c r="D8" s="57" t="e">
        <x:f>HYPERLINK("https://www.islo.com.mx/wp-content/uploads/2024/11/rabbit_banner3-1400x900.jpg","ABRIR FOTO HD")</x:f>
      </x:c>
      <x:c r="E8" s="57" t="e">
        <x:f>HYPERLINK("https://www.islo.com.mx/wp-content/uploads/2024/11/rabbit_banner4-1400x900.jpg","ABRIR FOTO HD")</x:f>
      </x:c>
      <x:c r="F8" s="57" t="str">
        <x:v>REVISAR RENDIMIENTO</x:v>
      </x:c>
    </x:row>
    <x:row r="10">
      <x:c r="A10" s="27" t="str">
        <x:v>02. ISLO Trip 150</x:v>
      </x:c>
      <x:c r="B10" s="27"/>
      <x:c r="C10" s="27"/>
      <x:c r="D10" s="27"/>
      <x:c r="E10" s="27"/>
      <x:c r="F10" s="27"/>
    </x:row>
    <x:row r="11">
      <x:c r="A11" s="57" t="str">
        <x:v>ÁNGULOS</x:v>
      </x:c>
      <x:c r="B11" s="57" t="str">
        <x:v>Frontal 3/4</x:v>
      </x:c>
      <x:c r="C11" s="57" t="str">
        <x:v>Lateral 3/4</x:v>
      </x:c>
      <x:c r="D11" s="57" t="str">
        <x:v>Lateral</x:v>
      </x:c>
      <x:c r="E11" s="57" t="str">
        <x:v>Frontal</x:v>
      </x:c>
      <x:c r="F11" s="57" t="str">
        <x:v>FICHA FUENTE</x:v>
      </x:c>
    </x:row>
    <x:row r="12" ht="170" customHeight="1">
      <x:c r="A12" s="63" t="str">
        <x:v>FOTOS</x:v>
      </x:c>
      <x:c r="B12" t="e">
        <x:f>IMAGE("https://www.islo.com.mx/wp-content/uploads/2024/11/ISLO-TRIP150_LIFESTYLE_1.jpg","Trip 150 foto 1",0)</x:f>
      </x:c>
      <x:c r="C12" t="e">
        <x:f>IMAGE("https://www.islo.com.mx/wp-content/uploads/2024/11/ISLO-TRIP150_LIFESTYLE_3.jpg","Trip 150 foto 2",0)</x:f>
      </x:c>
      <x:c r="D12" t="e">
        <x:f>IMAGE("https://www.islo.com.mx/wp-content/uploads/2024/11/ISLO-TRIP150_LIFESTYLE_5.jpg","Trip 150 foto 3",0)</x:f>
      </x:c>
      <x:c r="E12" t="e">
        <x:f>IMAGE("https://www.islo.com.mx/wp-content/uploads/2024/11/ISLO-TRIP150_LIFESTYLE_6A.jpg","Trip 150 foto 4",0)</x:f>
      </x:c>
      <x:c r="F12" s="68" t="e">
        <x:f>HYPERLINK("https://www.islo.com.mx/producto/trip-150/","ABRIR FICHA")</x:f>
      </x:c>
    </x:row>
    <x:row r="13">
      <x:c r="A13" s="57" t="str">
        <x:v>DESCARGA</x:v>
      </x:c>
      <x:c r="B13" s="57" t="e">
        <x:f>HYPERLINK("https://www.islo.com.mx/wp-content/uploads/2024/11/ISLO-TRIP150_LIFESTYLE_1.jpg","ABRIR FOTO HD")</x:f>
      </x:c>
      <x:c r="C13" s="57" t="e">
        <x:f>HYPERLINK("https://www.islo.com.mx/wp-content/uploads/2024/11/ISLO-TRIP150_LIFESTYLE_3.jpg","ABRIR FOTO HD")</x:f>
      </x:c>
      <x:c r="D13" s="57" t="e">
        <x:f>HYPERLINK("https://www.islo.com.mx/wp-content/uploads/2024/11/ISLO-TRIP150_LIFESTYLE_5.jpg","ABRIR FOTO HD")</x:f>
      </x:c>
      <x:c r="E13" s="57" t="e">
        <x:f>HYPERLINK("https://www.islo.com.mx/wp-content/uploads/2024/11/ISLO-TRIP150_LIFESTYLE_6A.jpg","ABRIR FOTO HD")</x:f>
      </x:c>
      <x:c r="F13" s="57" t="str">
        <x:v>APROBADA</x:v>
      </x:c>
    </x:row>
    <x:row r="15">
      <x:c r="A15" s="27" t="str">
        <x:v>03. ISLO Freedom</x:v>
      </x:c>
      <x:c r="B15" s="27"/>
      <x:c r="C15" s="27"/>
      <x:c r="D15" s="27"/>
      <x:c r="E15" s="27"/>
      <x:c r="F15" s="27"/>
    </x:row>
    <x:row r="16">
      <x:c r="A16" s="57" t="str">
        <x:v>ÁNGULOS</x:v>
      </x:c>
      <x:c r="B16" s="57" t="str">
        <x:v>Frontal 3/4</x:v>
      </x:c>
      <x:c r="C16" s="57" t="str">
        <x:v>Lateral trasera</x:v>
      </x:c>
      <x:c r="D16" s="57" t="str">
        <x:v>Frontal</x:v>
      </x:c>
      <x:c r="E16" s="57" t="str">
        <x:v>Estática 3/4</x:v>
      </x:c>
      <x:c r="F16" s="57" t="str">
        <x:v>FICHA FUENTE</x:v>
      </x:c>
    </x:row>
    <x:row r="17" ht="170" customHeight="1">
      <x:c r="A17" s="63" t="str">
        <x:v>FOTOS</x:v>
      </x:c>
      <x:c r="B17" t="e">
        <x:f>IMAGE("https://www.islo.com.mx/wp-content/uploads/2024/11/FREEDOM_banner_1-1400x900.jpg","Freedom foto 1",0)</x:f>
      </x:c>
      <x:c r="C17" t="e">
        <x:f>IMAGE("https://www.islo.com.mx/wp-content/uploads/2024/11/FREEDOM_banner_2-1400x900.jpg","Freedom foto 2",0)</x:f>
      </x:c>
      <x:c r="D17" t="e">
        <x:f>IMAGE("https://www.islo.com.mx/wp-content/uploads/2024/11/FREEDOM_banner_3-1400x900.jpg","Freedom foto 3",0)</x:f>
      </x:c>
      <x:c r="E17" t="e">
        <x:f>IMAGE("https://www.islo.com.mx/wp-content/uploads/2024/11/FREEDOM_banner_6-1400x900.jpg","Freedom foto 4",0)</x:f>
      </x:c>
      <x:c r="F17" s="68" t="e">
        <x:f>HYPERLINK("https://www.islo.com.mx/producto/freedom/","ABRIR FICHA")</x:f>
      </x:c>
    </x:row>
    <x:row r="18">
      <x:c r="A18" s="57" t="str">
        <x:v>DESCARGA</x:v>
      </x:c>
      <x:c r="B18" s="57" t="e">
        <x:f>HYPERLINK("https://www.islo.com.mx/wp-content/uploads/2024/11/FREEDOM_banner_1-1400x900.jpg","ABRIR FOTO HD")</x:f>
      </x:c>
      <x:c r="C18" s="57" t="e">
        <x:f>HYPERLINK("https://www.islo.com.mx/wp-content/uploads/2024/11/FREEDOM_banner_2-1400x900.jpg","ABRIR FOTO HD")</x:f>
      </x:c>
      <x:c r="D18" s="57" t="e">
        <x:f>HYPERLINK("https://www.islo.com.mx/wp-content/uploads/2024/11/FREEDOM_banner_3-1400x900.jpg","ABRIR FOTO HD")</x:f>
      </x:c>
      <x:c r="E18" s="57" t="e">
        <x:f>HYPERLINK("https://www.islo.com.mx/wp-content/uploads/2024/11/FREEDOM_banner_6-1400x900.jpg","ABRIR FOTO HD")</x:f>
      </x:c>
      <x:c r="F18" s="57" t="str">
        <x:v>REVISAR PESO</x:v>
      </x:c>
    </x:row>
    <x:row r="20">
      <x:c r="A20" s="27" t="str">
        <x:v>04. ISLO Mutant 250R</x:v>
      </x:c>
      <x:c r="B20" s="27"/>
      <x:c r="C20" s="27"/>
      <x:c r="D20" s="27"/>
      <x:c r="E20" s="27"/>
      <x:c r="F20" s="27"/>
    </x:row>
    <x:row r="21">
      <x:c r="A21" s="57" t="str">
        <x:v>ÁNGULOS</x:v>
      </x:c>
      <x:c r="B21" s="57" t="str">
        <x:v>Frontal</x:v>
      </x:c>
      <x:c r="C21" s="57" t="str">
        <x:v>Frontal 3/4</x:v>
      </x:c>
      <x:c r="D21" s="57" t="str">
        <x:v>Lateral</x:v>
      </x:c>
      <x:c r="E21" s="57" t="str">
        <x:v>Frontal lateral</x:v>
      </x:c>
      <x:c r="F21" s="57" t="str">
        <x:v>FICHA FUENTE</x:v>
      </x:c>
    </x:row>
    <x:row r="22" ht="170" customHeight="1">
      <x:c r="A22" s="63" t="str">
        <x:v>FOTOS</x:v>
      </x:c>
      <x:c r="B22" t="e">
        <x:f>IMAGE("https://www.islo.com.mx/wp-content/uploads/2024/11/mutant_banner_1-1400x900.jpg","Mutant 250R foto 1",0)</x:f>
      </x:c>
      <x:c r="C22" t="e">
        <x:f>IMAGE("https://www.islo.com.mx/wp-content/uploads/2024/11/mutant_banner_2-1400x900.jpg","Mutant 250R foto 2",0)</x:f>
      </x:c>
      <x:c r="D22" t="e">
        <x:f>IMAGE("https://www.islo.com.mx/wp-content/uploads/2024/11/mutant_banner_3-1400x900.jpg","Mutant 250R foto 3",0)</x:f>
      </x:c>
      <x:c r="E22" t="e">
        <x:f>IMAGE("https://www.islo.com.mx/wp-content/uploads/2024/11/mutant_banner_4-1400x900.jpg","Mutant 250R foto 4",0)</x:f>
      </x:c>
      <x:c r="F22" s="68" t="e">
        <x:f>HYPERLINK("https://www.islo.com.mx/producto/mutant-250r/","ABRIR FICHA")</x:f>
      </x:c>
    </x:row>
    <x:row r="23">
      <x:c r="A23" s="57" t="str">
        <x:v>DESCARGA</x:v>
      </x:c>
      <x:c r="B23" s="57" t="e">
        <x:f>HYPERLINK("https://www.islo.com.mx/wp-content/uploads/2024/11/mutant_banner_1-1400x900.jpg","ABRIR FOTO HD")</x:f>
      </x:c>
      <x:c r="C23" s="57" t="e">
        <x:f>HYPERLINK("https://www.islo.com.mx/wp-content/uploads/2024/11/mutant_banner_2-1400x900.jpg","ABRIR FOTO HD")</x:f>
      </x:c>
      <x:c r="D23" s="57" t="e">
        <x:f>HYPERLINK("https://www.islo.com.mx/wp-content/uploads/2024/11/mutant_banner_3-1400x900.jpg","ABRIR FOTO HD")</x:f>
      </x:c>
      <x:c r="E23" s="57" t="e">
        <x:f>HYPERLINK("https://www.islo.com.mx/wp-content/uploads/2024/11/mutant_banner_4-1400x900.jpg","ABRIR FOTO HD")</x:f>
      </x:c>
      <x:c r="F23" s="57" t="str">
        <x:v>APROBADA CON NOTA</x:v>
      </x:c>
    </x:row>
    <x:row r="25">
      <x:c r="A25" s="27" t="str">
        <x:v>05. ISLO Blackwing</x:v>
      </x:c>
      <x:c r="B25" s="27"/>
      <x:c r="C25" s="27"/>
      <x:c r="D25" s="27"/>
      <x:c r="E25" s="27"/>
      <x:c r="F25" s="27"/>
    </x:row>
    <x:row r="26">
      <x:c r="A26" s="57" t="str">
        <x:v>ÁNGULOS</x:v>
      </x:c>
      <x:c r="B26" s="57" t="str">
        <x:v>Frontal 3/4</x:v>
      </x:c>
      <x:c r="C26" s="57" t="str">
        <x:v>Lateral frontal</x:v>
      </x:c>
      <x:c r="D26" s="57" t="str">
        <x:v>Frontal</x:v>
      </x:c>
      <x:c r="E26" s="57" t="str">
        <x:v>Frontal 3/4 opuesto</x:v>
      </x:c>
      <x:c r="F26" s="57" t="str">
        <x:v>FICHA FUENTE</x:v>
      </x:c>
    </x:row>
    <x:row r="27" ht="170" customHeight="1">
      <x:c r="A27" s="63" t="str">
        <x:v>FOTOS</x:v>
      </x:c>
      <x:c r="B27" t="e">
        <x:f>IMAGE("https://www.islo.com.mx/wp-content/uploads/2025/04/ISLO-BLACKWING-LS_1.jpg","Blackwing foto 1",0)</x:f>
      </x:c>
      <x:c r="C27" t="e">
        <x:f>IMAGE("https://www.islo.com.mx/wp-content/uploads/2025/04/ISLO-BLACKWING-LS_2.jpg","Blackwing foto 2",0)</x:f>
      </x:c>
      <x:c r="D27" t="e">
        <x:f>IMAGE("https://www.islo.com.mx/wp-content/uploads/2025/04/ISLO-BLACKWING-LS_3.jpg","Blackwing foto 3",0)</x:f>
      </x:c>
      <x:c r="E27" t="e">
        <x:f>IMAGE("https://www.islo.com.mx/wp-content/uploads/2025/04/ISLO-BLACKWING-LS_4.jpg","Blackwing foto 4",0)</x:f>
      </x:c>
      <x:c r="F27" s="68" t="e">
        <x:f>HYPERLINK("https://www.islo.com.mx/producto/blackwing/","ABRIR FICHA")</x:f>
      </x:c>
    </x:row>
    <x:row r="28">
      <x:c r="A28" s="57" t="str">
        <x:v>DESCARGA</x:v>
      </x:c>
      <x:c r="B28" s="57" t="e">
        <x:f>HYPERLINK("https://www.islo.com.mx/wp-content/uploads/2025/04/ISLO-BLACKWING-LS_1.jpg","ABRIR FOTO HD")</x:f>
      </x:c>
      <x:c r="C28" s="57" t="e">
        <x:f>HYPERLINK("https://www.islo.com.mx/wp-content/uploads/2025/04/ISLO-BLACKWING-LS_2.jpg","ABRIR FOTO HD")</x:f>
      </x:c>
      <x:c r="D28" s="57" t="e">
        <x:f>HYPERLINK("https://www.islo.com.mx/wp-content/uploads/2025/04/ISLO-BLACKWING-LS_3.jpg","ABRIR FOTO HD")</x:f>
      </x:c>
      <x:c r="E28" s="57" t="e">
        <x:f>HYPERLINK("https://www.islo.com.mx/wp-content/uploads/2025/04/ISLO-BLACKWING-LS_4.jpg","ABRIR FOTO HD")</x:f>
      </x:c>
      <x:c r="F28" s="57" t="str">
        <x:v>APROBADA CON NOTA</x:v>
      </x:c>
    </x:row>
    <x:row r="30">
      <x:c r="A30" s="27" t="str">
        <x:v>06. ISLO Montana ADV250</x:v>
      </x:c>
      <x:c r="B30" s="27"/>
      <x:c r="C30" s="27"/>
      <x:c r="D30" s="27"/>
      <x:c r="E30" s="27"/>
      <x:c r="F30" s="27"/>
    </x:row>
    <x:row r="31">
      <x:c r="A31" s="57" t="str">
        <x:v>ÁNGULOS</x:v>
      </x:c>
      <x:c r="B31" s="57" t="str">
        <x:v>Frontal 3/4</x:v>
      </x:c>
      <x:c r="C31" s="57" t="str">
        <x:v>Lateral</x:v>
      </x:c>
      <x:c r="D31" s="57" t="str">
        <x:v>Estática 3/4</x:v>
      </x:c>
      <x:c r="E31" s="57" t="str">
        <x:v>Frontal lateral bosque</x:v>
      </x:c>
      <x:c r="F31" s="57" t="str">
        <x:v>FICHA FUENTE</x:v>
      </x:c>
    </x:row>
    <x:row r="32" ht="170" customHeight="1">
      <x:c r="A32" s="63" t="str">
        <x:v>FOTOS</x:v>
      </x:c>
      <x:c r="B32" t="e">
        <x:f>IMAGE("https://www.islo.com.mx/wp-content/uploads/2025/12/ISLO-MONTANA-ADV250-LS_2.jpg","Montana ADV250 foto 1",0)</x:f>
      </x:c>
      <x:c r="C32" t="e">
        <x:f>IMAGE("https://www.islo.com.mx/wp-content/uploads/2025/12/ISLO-MONTANA-ADV250-LS_3.jpg","Montana ADV250 foto 2",0)</x:f>
      </x:c>
      <x:c r="D32" t="e">
        <x:f>IMAGE("https://www.islo.com.mx/wp-content/uploads/2025/12/ISLO-MONTANA-ADV250-LS_4.jpg","Montana ADV250 foto 3",0)</x:f>
      </x:c>
      <x:c r="E32" t="e">
        <x:f>IMAGE("https://www.islo.com.mx/wp-content/uploads/2025/12/ISLO-MONTANA-ADV250-LS_6.jpg","Montana ADV250 foto 4",0)</x:f>
      </x:c>
      <x:c r="F32" s="68" t="e">
        <x:f>HYPERLINK("https://www.islo.com.mx/producto/montana-adv-250/","ABRIR FICHA")</x:f>
      </x:c>
    </x:row>
    <x:row r="33">
      <x:c r="A33" s="57" t="str">
        <x:v>DESCARGA</x:v>
      </x:c>
      <x:c r="B33" s="57" t="e">
        <x:f>HYPERLINK("https://www.islo.com.mx/wp-content/uploads/2025/12/ISLO-MONTANA-ADV250-LS_2.jpg","ABRIR FOTO HD")</x:f>
      </x:c>
      <x:c r="C33" s="57" t="e">
        <x:f>HYPERLINK("https://www.islo.com.mx/wp-content/uploads/2025/12/ISLO-MONTANA-ADV250-LS_3.jpg","ABRIR FOTO HD")</x:f>
      </x:c>
      <x:c r="D33" s="57" t="e">
        <x:f>HYPERLINK("https://www.islo.com.mx/wp-content/uploads/2025/12/ISLO-MONTANA-ADV250-LS_4.jpg","ABRIR FOTO HD")</x:f>
      </x:c>
      <x:c r="E33" s="57" t="e">
        <x:f>HYPERLINK("https://www.islo.com.mx/wp-content/uploads/2025/12/ISLO-MONTANA-ADV250-LS_6.jpg","ABRIR FOTO HD")</x:f>
      </x:c>
      <x:c r="F33" s="57" t="str">
        <x:v>APROBADA CON NOTA</x:v>
      </x:c>
    </x:row>
  </x:sheetData>
  <x:mergeCells>
    <x:mergeCell ref="A1:F2"/>
    <x:mergeCell ref="A3:F3"/>
    <x:mergeCell ref="A5:F5"/>
    <x:mergeCell ref="A10:F10"/>
    <x:mergeCell ref="A15:F15"/>
    <x:mergeCell ref="A20:F20"/>
    <x:mergeCell ref="A25:F25"/>
    <x:mergeCell ref="A30:F3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0" hidden="0" customWidth="1"/>
    <x:col min="3" max="3" width="8" hidden="0" customWidth="1"/>
    <x:col min="4" max="4" width="24" hidden="0" customWidth="1"/>
    <x:col min="5" max="5" width="65" hidden="0" customWidth="1"/>
    <x:col min="6" max="6" width="50" hidden="0" customWidth="1"/>
    <x:col min="7" max="7" width="55" hidden="0" customWidth="1"/>
    <x:col min="8" max="8" width="14" hidden="0" customWidth="1"/>
    <x:col min="9" max="9" width="55" hidden="0" customWidth="1"/>
  </x:cols>
  <x:sheetData>
    <x:row r="1">
      <x:c r="A1" s="16" t="str">
        <x:v>No.</x:v>
      </x:c>
      <x:c r="B1" s="16" t="str">
        <x:v>Modelo</x:v>
      </x:c>
      <x:c r="C1" s="16" t="str">
        <x:v>Foto</x:v>
      </x:c>
      <x:c r="D1" s="16" t="str">
        <x:v>Tipo de toma</x:v>
      </x:c>
      <x:c r="E1" s="16" t="str">
        <x:v>URL original</x:v>
      </x:c>
      <x:c r="F1" s="16" t="str">
        <x:v>Archivo en ZIP</x:v>
      </x:c>
      <x:c r="G1" s="16" t="str">
        <x:v>Fuente exacta</x:v>
      </x:c>
      <x:c r="H1" s="16" t="str">
        <x:v>Estatus</x:v>
      </x:c>
      <x:c r="I1" s="16" t="str">
        <x:v>Observación</x:v>
      </x:c>
    </x:row>
    <x:row r="2" ht="50" customHeight="1">
      <x:c r="A2" s="40" t="n">
        <x:v>1</x:v>
      </x:c>
      <x:c r="B2" s="40" t="str">
        <x:v>Rabbit Rush</x:v>
      </x:c>
      <x:c r="C2" s="40" t="n">
        <x:v>1</x:v>
      </x:c>
      <x:c r="D2" s="40" t="str">
        <x:v>Frontal 3/4</x:v>
      </x:c>
      <x:c r="E2" s="40" t="str">
        <x:v>https://www.islo.com.mx/wp-content/uploads/2024/11/rabbit_banner1-1400x900.jpg</x:v>
      </x:c>
      <x:c r="F2" s="40" t="str">
        <x:v>ISLO_Imagenes_RiderMex/Rabbit_Rush/01_frontal_tres_cuartos.jpg</x:v>
      </x:c>
      <x:c r="G2" s="40" t="str">
        <x:v>https://www.islo.com.mx/producto/rabbit-ruch/</x:v>
      </x:c>
      <x:c r="H2" s="40" t="str">
        <x:v>APROBADA</x:v>
      </x:c>
      <x:c r="I2" s="40" t="str">
        <x:v>Modelo exacto; moto completa; ángulo distinto dentro de la galería del modelo.</x:v>
      </x:c>
    </x:row>
    <x:row r="3" ht="50" customHeight="1">
      <x:c r="A3" s="37" t="n">
        <x:v>2</x:v>
      </x:c>
      <x:c r="B3" s="37" t="str">
        <x:v>Rabbit Rush</x:v>
      </x:c>
      <x:c r="C3" s="37" t="n">
        <x:v>2</x:v>
      </x:c>
      <x:c r="D3" s="37" t="str">
        <x:v>Frontal</x:v>
      </x:c>
      <x:c r="E3" s="37" t="str">
        <x:v>https://www.islo.com.mx/wp-content/uploads/2024/11/rabbit_banner2-1400x900.jpg</x:v>
      </x:c>
      <x:c r="F3" s="37" t="str">
        <x:v>ISLO_Imagenes_RiderMex/Rabbit_Rush/02_frontal.jpg</x:v>
      </x:c>
      <x:c r="G3" s="37" t="str">
        <x:v>https://www.islo.com.mx/producto/rabbit-ruch/</x:v>
      </x:c>
      <x:c r="H3" s="37" t="str">
        <x:v>APROBADA</x:v>
      </x:c>
      <x:c r="I3" s="37" t="str">
        <x:v>Modelo exacto; moto completa; ángulo distinto dentro de la galería del modelo.</x:v>
      </x:c>
    </x:row>
    <x:row r="4" ht="50" customHeight="1">
      <x:c r="A4" s="40" t="n">
        <x:v>3</x:v>
      </x:c>
      <x:c r="B4" s="40" t="str">
        <x:v>Rabbit Rush</x:v>
      </x:c>
      <x:c r="C4" s="40" t="n">
        <x:v>3</x:v>
      </x:c>
      <x:c r="D4" s="40" t="str">
        <x:v>Frontal lateral</x:v>
      </x:c>
      <x:c r="E4" s="40" t="str">
        <x:v>https://www.islo.com.mx/wp-content/uploads/2024/11/rabbit_banner3-1400x900.jpg</x:v>
      </x:c>
      <x:c r="F4" s="40" t="str">
        <x:v>ISLO_Imagenes_RiderMex/Rabbit_Rush/03_frontal_lateral.jpg</x:v>
      </x:c>
      <x:c r="G4" s="40" t="str">
        <x:v>https://www.islo.com.mx/producto/rabbit-ruch/</x:v>
      </x:c>
      <x:c r="H4" s="40" t="str">
        <x:v>APROBADA</x:v>
      </x:c>
      <x:c r="I4" s="40" t="str">
        <x:v>Modelo exacto; moto completa; ángulo distinto dentro de la galería del modelo.</x:v>
      </x:c>
    </x:row>
    <x:row r="5" ht="50" customHeight="1">
      <x:c r="A5" s="37" t="n">
        <x:v>4</x:v>
      </x:c>
      <x:c r="B5" s="37" t="str">
        <x:v>Rabbit Rush</x:v>
      </x:c>
      <x:c r="C5" s="37" t="n">
        <x:v>4</x:v>
      </x:c>
      <x:c r="D5" s="37" t="str">
        <x:v>Lateral trasera</x:v>
      </x:c>
      <x:c r="E5" s="37" t="str">
        <x:v>https://www.islo.com.mx/wp-content/uploads/2024/11/rabbit_banner4-1400x900.jpg</x:v>
      </x:c>
      <x:c r="F5" s="37" t="str">
        <x:v>ISLO_Imagenes_RiderMex/Rabbit_Rush/04_lateral_trasera.jpg</x:v>
      </x:c>
      <x:c r="G5" s="37" t="str">
        <x:v>https://www.islo.com.mx/producto/rabbit-ruch/</x:v>
      </x:c>
      <x:c r="H5" s="37" t="str">
        <x:v>APROBADA</x:v>
      </x:c>
      <x:c r="I5" s="37" t="str">
        <x:v>Modelo exacto; moto completa; ángulo distinto dentro de la galería del modelo.</x:v>
      </x:c>
    </x:row>
    <x:row r="6" ht="50" customHeight="1">
      <x:c r="A6" s="40" t="n">
        <x:v>5</x:v>
      </x:c>
      <x:c r="B6" s="40" t="str">
        <x:v>Trip 150</x:v>
      </x:c>
      <x:c r="C6" s="40" t="n">
        <x:v>1</x:v>
      </x:c>
      <x:c r="D6" s="40" t="str">
        <x:v>Frontal 3/4</x:v>
      </x:c>
      <x:c r="E6" s="40" t="str">
        <x:v>https://www.islo.com.mx/wp-content/uploads/2024/11/ISLO-TRIP150_LIFESTYLE_1.jpg</x:v>
      </x:c>
      <x:c r="F6" s="40" t="str">
        <x:v>ISLO_Imagenes_RiderMex/Trip_150/01_frontal_tres_cuartos.jpg</x:v>
      </x:c>
      <x:c r="G6" s="40" t="str">
        <x:v>https://www.islo.com.mx/producto/trip-150/</x:v>
      </x:c>
      <x:c r="H6" s="40" t="str">
        <x:v>APROBADA</x:v>
      </x:c>
      <x:c r="I6" s="40" t="str">
        <x:v>Modelo exacto; moto completa; ángulo distinto dentro de la galería del modelo.</x:v>
      </x:c>
    </x:row>
    <x:row r="7" ht="50" customHeight="1">
      <x:c r="A7" s="37" t="n">
        <x:v>6</x:v>
      </x:c>
      <x:c r="B7" s="37" t="str">
        <x:v>Trip 150</x:v>
      </x:c>
      <x:c r="C7" s="37" t="n">
        <x:v>2</x:v>
      </x:c>
      <x:c r="D7" s="37" t="str">
        <x:v>Lateral 3/4</x:v>
      </x:c>
      <x:c r="E7" s="37" t="str">
        <x:v>https://www.islo.com.mx/wp-content/uploads/2024/11/ISLO-TRIP150_LIFESTYLE_3.jpg</x:v>
      </x:c>
      <x:c r="F7" s="37" t="str">
        <x:v>ISLO_Imagenes_RiderMex/Trip_150/02_lateral_tres_cuartos.jpg</x:v>
      </x:c>
      <x:c r="G7" s="37" t="str">
        <x:v>https://www.islo.com.mx/producto/trip-150/</x:v>
      </x:c>
      <x:c r="H7" s="37" t="str">
        <x:v>APROBADA</x:v>
      </x:c>
      <x:c r="I7" s="37" t="str">
        <x:v>Modelo exacto; moto completa; ángulo distinto dentro de la galería del modelo.</x:v>
      </x:c>
    </x:row>
    <x:row r="8" ht="50" customHeight="1">
      <x:c r="A8" s="40" t="n">
        <x:v>7</x:v>
      </x:c>
      <x:c r="B8" s="40" t="str">
        <x:v>Trip 150</x:v>
      </x:c>
      <x:c r="C8" s="40" t="n">
        <x:v>3</x:v>
      </x:c>
      <x:c r="D8" s="40" t="str">
        <x:v>Lateral</x:v>
      </x:c>
      <x:c r="E8" s="40" t="str">
        <x:v>https://www.islo.com.mx/wp-content/uploads/2024/11/ISLO-TRIP150_LIFESTYLE_5.jpg</x:v>
      </x:c>
      <x:c r="F8" s="40" t="str">
        <x:v>ISLO_Imagenes_RiderMex/Trip_150/03_lateral.jpg</x:v>
      </x:c>
      <x:c r="G8" s="40" t="str">
        <x:v>https://www.islo.com.mx/producto/trip-150/</x:v>
      </x:c>
      <x:c r="H8" s="40" t="str">
        <x:v>APROBADA</x:v>
      </x:c>
      <x:c r="I8" s="40" t="str">
        <x:v>Modelo exacto; moto completa; ángulo distinto dentro de la galería del modelo.</x:v>
      </x:c>
    </x:row>
    <x:row r="9" ht="50" customHeight="1">
      <x:c r="A9" s="37" t="n">
        <x:v>8</x:v>
      </x:c>
      <x:c r="B9" s="37" t="str">
        <x:v>Trip 150</x:v>
      </x:c>
      <x:c r="C9" s="37" t="n">
        <x:v>4</x:v>
      </x:c>
      <x:c r="D9" s="37" t="str">
        <x:v>Frontal</x:v>
      </x:c>
      <x:c r="E9" s="37" t="str">
        <x:v>https://www.islo.com.mx/wp-content/uploads/2024/11/ISLO-TRIP150_LIFESTYLE_6A.jpg</x:v>
      </x:c>
      <x:c r="F9" s="37" t="str">
        <x:v>ISLO_Imagenes_RiderMex/Trip_150/04_frontal.jpg</x:v>
      </x:c>
      <x:c r="G9" s="37" t="str">
        <x:v>https://www.islo.com.mx/producto/trip-150/</x:v>
      </x:c>
      <x:c r="H9" s="37" t="str">
        <x:v>APROBADA</x:v>
      </x:c>
      <x:c r="I9" s="37" t="str">
        <x:v>Modelo exacto; moto completa; ángulo distinto dentro de la galería del modelo.</x:v>
      </x:c>
    </x:row>
    <x:row r="10" ht="50" customHeight="1">
      <x:c r="A10" s="40" t="n">
        <x:v>9</x:v>
      </x:c>
      <x:c r="B10" s="40" t="str">
        <x:v>Freedom</x:v>
      </x:c>
      <x:c r="C10" s="40" t="n">
        <x:v>1</x:v>
      </x:c>
      <x:c r="D10" s="40" t="str">
        <x:v>Frontal 3/4</x:v>
      </x:c>
      <x:c r="E10" s="40" t="str">
        <x:v>https://www.islo.com.mx/wp-content/uploads/2024/11/FREEDOM_banner_1-1400x900.jpg</x:v>
      </x:c>
      <x:c r="F10" s="40" t="str">
        <x:v>ISLO_Imagenes_RiderMex/Freedom/01_frontal_tres_cuartos.jpg</x:v>
      </x:c>
      <x:c r="G10" s="40" t="str">
        <x:v>https://www.islo.com.mx/producto/freedom/</x:v>
      </x:c>
      <x:c r="H10" s="40" t="str">
        <x:v>APROBADA</x:v>
      </x:c>
      <x:c r="I10" s="40" t="str">
        <x:v>Modelo exacto; moto completa; ángulo distinto dentro de la galería del modelo.</x:v>
      </x:c>
    </x:row>
    <x:row r="11" ht="50" customHeight="1">
      <x:c r="A11" s="37" t="n">
        <x:v>10</x:v>
      </x:c>
      <x:c r="B11" s="37" t="str">
        <x:v>Freedom</x:v>
      </x:c>
      <x:c r="C11" s="37" t="n">
        <x:v>2</x:v>
      </x:c>
      <x:c r="D11" s="37" t="str">
        <x:v>Lateral trasera</x:v>
      </x:c>
      <x:c r="E11" s="37" t="str">
        <x:v>https://www.islo.com.mx/wp-content/uploads/2024/11/FREEDOM_banner_2-1400x900.jpg</x:v>
      </x:c>
      <x:c r="F11" s="37" t="str">
        <x:v>ISLO_Imagenes_RiderMex/Freedom/02_lateral_trasera.jpg</x:v>
      </x:c>
      <x:c r="G11" s="37" t="str">
        <x:v>https://www.islo.com.mx/producto/freedom/</x:v>
      </x:c>
      <x:c r="H11" s="37" t="str">
        <x:v>APROBADA</x:v>
      </x:c>
      <x:c r="I11" s="37" t="str">
        <x:v>Modelo exacto; moto completa; ángulo distinto dentro de la galería del modelo.</x:v>
      </x:c>
    </x:row>
    <x:row r="12" ht="50" customHeight="1">
      <x:c r="A12" s="40" t="n">
        <x:v>11</x:v>
      </x:c>
      <x:c r="B12" s="40" t="str">
        <x:v>Freedom</x:v>
      </x:c>
      <x:c r="C12" s="40" t="n">
        <x:v>3</x:v>
      </x:c>
      <x:c r="D12" s="40" t="str">
        <x:v>Frontal</x:v>
      </x:c>
      <x:c r="E12" s="40" t="str">
        <x:v>https://www.islo.com.mx/wp-content/uploads/2024/11/FREEDOM_banner_3-1400x900.jpg</x:v>
      </x:c>
      <x:c r="F12" s="40" t="str">
        <x:v>ISLO_Imagenes_RiderMex/Freedom/03_frontal.jpg</x:v>
      </x:c>
      <x:c r="G12" s="40" t="str">
        <x:v>https://www.islo.com.mx/producto/freedom/</x:v>
      </x:c>
      <x:c r="H12" s="40" t="str">
        <x:v>APROBADA</x:v>
      </x:c>
      <x:c r="I12" s="40" t="str">
        <x:v>Modelo exacto; moto completa; ángulo distinto dentro de la galería del modelo.</x:v>
      </x:c>
    </x:row>
    <x:row r="13" ht="50" customHeight="1">
      <x:c r="A13" s="37" t="n">
        <x:v>12</x:v>
      </x:c>
      <x:c r="B13" s="37" t="str">
        <x:v>Freedom</x:v>
      </x:c>
      <x:c r="C13" s="37" t="n">
        <x:v>4</x:v>
      </x:c>
      <x:c r="D13" s="37" t="str">
        <x:v>Estática 3/4</x:v>
      </x:c>
      <x:c r="E13" s="37" t="str">
        <x:v>https://www.islo.com.mx/wp-content/uploads/2024/11/FREEDOM_banner_6-1400x900.jpg</x:v>
      </x:c>
      <x:c r="F13" s="37" t="str">
        <x:v>ISLO_Imagenes_RiderMex/Freedom/04_estatica_tres_cuartos.jpg</x:v>
      </x:c>
      <x:c r="G13" s="37" t="str">
        <x:v>https://www.islo.com.mx/producto/freedom/</x:v>
      </x:c>
      <x:c r="H13" s="37" t="str">
        <x:v>APROBADA</x:v>
      </x:c>
      <x:c r="I13" s="37" t="str">
        <x:v>Modelo exacto; moto completa; ángulo distinto dentro de la galería del modelo.</x:v>
      </x:c>
    </x:row>
    <x:row r="14" ht="50" customHeight="1">
      <x:c r="A14" s="40" t="n">
        <x:v>13</x:v>
      </x:c>
      <x:c r="B14" s="40" t="str">
        <x:v>Mutant 250R</x:v>
      </x:c>
      <x:c r="C14" s="40" t="n">
        <x:v>1</x:v>
      </x:c>
      <x:c r="D14" s="40" t="str">
        <x:v>Frontal</x:v>
      </x:c>
      <x:c r="E14" s="40" t="str">
        <x:v>https://www.islo.com.mx/wp-content/uploads/2024/11/mutant_banner_1-1400x900.jpg</x:v>
      </x:c>
      <x:c r="F14" s="40" t="str">
        <x:v>ISLO_Imagenes_RiderMex/Mutant_250R/01_frontal.jpg</x:v>
      </x:c>
      <x:c r="G14" s="40" t="str">
        <x:v>https://www.islo.com.mx/producto/mutant-250r/</x:v>
      </x:c>
      <x:c r="H14" s="40" t="str">
        <x:v>APROBADA</x:v>
      </x:c>
      <x:c r="I14" s="40" t="str">
        <x:v>Modelo exacto; moto completa; ángulo distinto dentro de la galería del modelo.</x:v>
      </x:c>
    </x:row>
    <x:row r="15" ht="50" customHeight="1">
      <x:c r="A15" s="37" t="n">
        <x:v>14</x:v>
      </x:c>
      <x:c r="B15" s="37" t="str">
        <x:v>Mutant 250R</x:v>
      </x:c>
      <x:c r="C15" s="37" t="n">
        <x:v>2</x:v>
      </x:c>
      <x:c r="D15" s="37" t="str">
        <x:v>Frontal 3/4</x:v>
      </x:c>
      <x:c r="E15" s="37" t="str">
        <x:v>https://www.islo.com.mx/wp-content/uploads/2024/11/mutant_banner_2-1400x900.jpg</x:v>
      </x:c>
      <x:c r="F15" s="37" t="str">
        <x:v>ISLO_Imagenes_RiderMex/Mutant_250R/02_frontal_tres_cuartos.jpg</x:v>
      </x:c>
      <x:c r="G15" s="37" t="str">
        <x:v>https://www.islo.com.mx/producto/mutant-250r/</x:v>
      </x:c>
      <x:c r="H15" s="37" t="str">
        <x:v>APROBADA</x:v>
      </x:c>
      <x:c r="I15" s="37" t="str">
        <x:v>Modelo exacto; moto completa; ángulo distinto dentro de la galería del modelo.</x:v>
      </x:c>
    </x:row>
    <x:row r="16" ht="50" customHeight="1">
      <x:c r="A16" s="40" t="n">
        <x:v>15</x:v>
      </x:c>
      <x:c r="B16" s="40" t="str">
        <x:v>Mutant 250R</x:v>
      </x:c>
      <x:c r="C16" s="40" t="n">
        <x:v>3</x:v>
      </x:c>
      <x:c r="D16" s="40" t="str">
        <x:v>Lateral</x:v>
      </x:c>
      <x:c r="E16" s="40" t="str">
        <x:v>https://www.islo.com.mx/wp-content/uploads/2024/11/mutant_banner_3-1400x900.jpg</x:v>
      </x:c>
      <x:c r="F16" s="40" t="str">
        <x:v>ISLO_Imagenes_RiderMex/Mutant_250R/03_lateral.jpg</x:v>
      </x:c>
      <x:c r="G16" s="40" t="str">
        <x:v>https://www.islo.com.mx/producto/mutant-250r/</x:v>
      </x:c>
      <x:c r="H16" s="40" t="str">
        <x:v>APROBADA</x:v>
      </x:c>
      <x:c r="I16" s="40" t="str">
        <x:v>Modelo exacto; moto completa; ángulo distinto dentro de la galería del modelo.</x:v>
      </x:c>
    </x:row>
    <x:row r="17" ht="50" customHeight="1">
      <x:c r="A17" s="37" t="n">
        <x:v>16</x:v>
      </x:c>
      <x:c r="B17" s="37" t="str">
        <x:v>Mutant 250R</x:v>
      </x:c>
      <x:c r="C17" s="37" t="n">
        <x:v>4</x:v>
      </x:c>
      <x:c r="D17" s="37" t="str">
        <x:v>Frontal lateral</x:v>
      </x:c>
      <x:c r="E17" s="37" t="str">
        <x:v>https://www.islo.com.mx/wp-content/uploads/2024/11/mutant_banner_4-1400x900.jpg</x:v>
      </x:c>
      <x:c r="F17" s="37" t="str">
        <x:v>ISLO_Imagenes_RiderMex/Mutant_250R/04_frontal_lateral.jpg</x:v>
      </x:c>
      <x:c r="G17" s="37" t="str">
        <x:v>https://www.islo.com.mx/producto/mutant-250r/</x:v>
      </x:c>
      <x:c r="H17" s="37" t="str">
        <x:v>APROBADA</x:v>
      </x:c>
      <x:c r="I17" s="37" t="str">
        <x:v>Modelo exacto; moto completa; ángulo distinto dentro de la galería del modelo.</x:v>
      </x:c>
    </x:row>
    <x:row r="18" ht="50" customHeight="1">
      <x:c r="A18" s="40" t="n">
        <x:v>17</x:v>
      </x:c>
      <x:c r="B18" s="40" t="str">
        <x:v>Blackwing</x:v>
      </x:c>
      <x:c r="C18" s="40" t="n">
        <x:v>1</x:v>
      </x:c>
      <x:c r="D18" s="40" t="str">
        <x:v>Frontal 3/4</x:v>
      </x:c>
      <x:c r="E18" s="40" t="str">
        <x:v>https://www.islo.com.mx/wp-content/uploads/2025/04/ISLO-BLACKWING-LS_1.jpg</x:v>
      </x:c>
      <x:c r="F18" s="40" t="str">
        <x:v>ISLO_Imagenes_RiderMex/Blackwing/01_frontal_tres_cuartos.jpg</x:v>
      </x:c>
      <x:c r="G18" s="40" t="str">
        <x:v>https://www.islo.com.mx/producto/blackwing/</x:v>
      </x:c>
      <x:c r="H18" s="40" t="str">
        <x:v>APROBADA</x:v>
      </x:c>
      <x:c r="I18" s="40" t="str">
        <x:v>Modelo exacto; moto completa; ángulo distinto dentro de la galería del modelo.</x:v>
      </x:c>
    </x:row>
    <x:row r="19" ht="50" customHeight="1">
      <x:c r="A19" s="37" t="n">
        <x:v>18</x:v>
      </x:c>
      <x:c r="B19" s="37" t="str">
        <x:v>Blackwing</x:v>
      </x:c>
      <x:c r="C19" s="37" t="n">
        <x:v>2</x:v>
      </x:c>
      <x:c r="D19" s="37" t="str">
        <x:v>Lateral frontal</x:v>
      </x:c>
      <x:c r="E19" s="37" t="str">
        <x:v>https://www.islo.com.mx/wp-content/uploads/2025/04/ISLO-BLACKWING-LS_2.jpg</x:v>
      </x:c>
      <x:c r="F19" s="37" t="str">
        <x:v>ISLO_Imagenes_RiderMex/Blackwing/02_lateral_frontal.jpg</x:v>
      </x:c>
      <x:c r="G19" s="37" t="str">
        <x:v>https://www.islo.com.mx/producto/blackwing/</x:v>
      </x:c>
      <x:c r="H19" s="37" t="str">
        <x:v>APROBADA</x:v>
      </x:c>
      <x:c r="I19" s="37" t="str">
        <x:v>Modelo exacto; moto completa; ángulo distinto dentro de la galería del modelo.</x:v>
      </x:c>
    </x:row>
    <x:row r="20" ht="50" customHeight="1">
      <x:c r="A20" s="40" t="n">
        <x:v>19</x:v>
      </x:c>
      <x:c r="B20" s="40" t="str">
        <x:v>Blackwing</x:v>
      </x:c>
      <x:c r="C20" s="40" t="n">
        <x:v>3</x:v>
      </x:c>
      <x:c r="D20" s="40" t="str">
        <x:v>Frontal</x:v>
      </x:c>
      <x:c r="E20" s="40" t="str">
        <x:v>https://www.islo.com.mx/wp-content/uploads/2025/04/ISLO-BLACKWING-LS_3.jpg</x:v>
      </x:c>
      <x:c r="F20" s="40" t="str">
        <x:v>ISLO_Imagenes_RiderMex/Blackwing/03_frontal.jpg</x:v>
      </x:c>
      <x:c r="G20" s="40" t="str">
        <x:v>https://www.islo.com.mx/producto/blackwing/</x:v>
      </x:c>
      <x:c r="H20" s="40" t="str">
        <x:v>APROBADA</x:v>
      </x:c>
      <x:c r="I20" s="40" t="str">
        <x:v>Modelo exacto; moto completa; ángulo distinto dentro de la galería del modelo.</x:v>
      </x:c>
    </x:row>
    <x:row r="21" ht="50" customHeight="1">
      <x:c r="A21" s="37" t="n">
        <x:v>20</x:v>
      </x:c>
      <x:c r="B21" s="37" t="str">
        <x:v>Blackwing</x:v>
      </x:c>
      <x:c r="C21" s="37" t="n">
        <x:v>4</x:v>
      </x:c>
      <x:c r="D21" s="37" t="str">
        <x:v>Frontal 3/4 opuesto</x:v>
      </x:c>
      <x:c r="E21" s="37" t="str">
        <x:v>https://www.islo.com.mx/wp-content/uploads/2025/04/ISLO-BLACKWING-LS_4.jpg</x:v>
      </x:c>
      <x:c r="F21" s="37" t="str">
        <x:v>ISLO_Imagenes_RiderMex/Blackwing/04_frontal_tres_cuartos_opuesto.jpg</x:v>
      </x:c>
      <x:c r="G21" s="37" t="str">
        <x:v>https://www.islo.com.mx/producto/blackwing/</x:v>
      </x:c>
      <x:c r="H21" s="37" t="str">
        <x:v>APROBADA</x:v>
      </x:c>
      <x:c r="I21" s="37" t="str">
        <x:v>Modelo exacto; moto completa; ángulo distinto dentro de la galería del modelo.</x:v>
      </x:c>
    </x:row>
    <x:row r="22" ht="50" customHeight="1">
      <x:c r="A22" s="40" t="n">
        <x:v>21</x:v>
      </x:c>
      <x:c r="B22" s="40" t="str">
        <x:v>Montana ADV250</x:v>
      </x:c>
      <x:c r="C22" s="40" t="n">
        <x:v>1</x:v>
      </x:c>
      <x:c r="D22" s="40" t="str">
        <x:v>Frontal 3/4</x:v>
      </x:c>
      <x:c r="E22" s="40" t="str">
        <x:v>https://www.islo.com.mx/wp-content/uploads/2025/12/ISLO-MONTANA-ADV250-LS_2.jpg</x:v>
      </x:c>
      <x:c r="F22" s="40" t="str">
        <x:v>ISLO_Imagenes_RiderMex/Montana_ADV250/01_frontal_tres_cuartos.jpg</x:v>
      </x:c>
      <x:c r="G22" s="40" t="str">
        <x:v>https://www.islo.com.mx/producto/montana-adv-250/</x:v>
      </x:c>
      <x:c r="H22" s="40" t="str">
        <x:v>APROBADA</x:v>
      </x:c>
      <x:c r="I22" s="40" t="str">
        <x:v>Modelo exacto; moto completa; ángulo distinto dentro de la galería del modelo.</x:v>
      </x:c>
    </x:row>
    <x:row r="23" ht="50" customHeight="1">
      <x:c r="A23" s="37" t="n">
        <x:v>22</x:v>
      </x:c>
      <x:c r="B23" s="37" t="str">
        <x:v>Montana ADV250</x:v>
      </x:c>
      <x:c r="C23" s="37" t="n">
        <x:v>2</x:v>
      </x:c>
      <x:c r="D23" s="37" t="str">
        <x:v>Lateral</x:v>
      </x:c>
      <x:c r="E23" s="37" t="str">
        <x:v>https://www.islo.com.mx/wp-content/uploads/2025/12/ISLO-MONTANA-ADV250-LS_3.jpg</x:v>
      </x:c>
      <x:c r="F23" s="37" t="str">
        <x:v>ISLO_Imagenes_RiderMex/Montana_ADV250/02_lateral.jpg</x:v>
      </x:c>
      <x:c r="G23" s="37" t="str">
        <x:v>https://www.islo.com.mx/producto/montana-adv-250/</x:v>
      </x:c>
      <x:c r="H23" s="37" t="str">
        <x:v>APROBADA</x:v>
      </x:c>
      <x:c r="I23" s="37" t="str">
        <x:v>Modelo exacto; moto completa; ángulo distinto dentro de la galería del modelo.</x:v>
      </x:c>
    </x:row>
    <x:row r="24" ht="50" customHeight="1">
      <x:c r="A24" s="40" t="n">
        <x:v>23</x:v>
      </x:c>
      <x:c r="B24" s="40" t="str">
        <x:v>Montana ADV250</x:v>
      </x:c>
      <x:c r="C24" s="40" t="n">
        <x:v>3</x:v>
      </x:c>
      <x:c r="D24" s="40" t="str">
        <x:v>Estática 3/4</x:v>
      </x:c>
      <x:c r="E24" s="40" t="str">
        <x:v>https://www.islo.com.mx/wp-content/uploads/2025/12/ISLO-MONTANA-ADV250-LS_4.jpg</x:v>
      </x:c>
      <x:c r="F24" s="40" t="str">
        <x:v>ISLO_Imagenes_RiderMex/Montana_ADV250/03_estatica_tres_cuartos.jpg</x:v>
      </x:c>
      <x:c r="G24" s="40" t="str">
        <x:v>https://www.islo.com.mx/producto/montana-adv-250/</x:v>
      </x:c>
      <x:c r="H24" s="40" t="str">
        <x:v>APROBADA</x:v>
      </x:c>
      <x:c r="I24" s="40" t="str">
        <x:v>Modelo exacto; moto completa; ángulo distinto dentro de la galería del modelo.</x:v>
      </x:c>
    </x:row>
    <x:row r="25" ht="50" customHeight="1">
      <x:c r="A25" s="37" t="n">
        <x:v>24</x:v>
      </x:c>
      <x:c r="B25" s="37" t="str">
        <x:v>Montana ADV250</x:v>
      </x:c>
      <x:c r="C25" s="37" t="n">
        <x:v>4</x:v>
      </x:c>
      <x:c r="D25" s="37" t="str">
        <x:v>Frontal lateral bosque</x:v>
      </x:c>
      <x:c r="E25" s="37" t="str">
        <x:v>https://www.islo.com.mx/wp-content/uploads/2025/12/ISLO-MONTANA-ADV250-LS_6.jpg</x:v>
      </x:c>
      <x:c r="F25" s="37" t="str">
        <x:v>ISLO_Imagenes_RiderMex/Montana_ADV250/04_frontal_lateral_bosque.jpg</x:v>
      </x:c>
      <x:c r="G25" s="37" t="str">
        <x:v>https://www.islo.com.mx/producto/montana-adv-250/</x:v>
      </x:c>
      <x:c r="H25" s="37" t="str">
        <x:v>APROBADA</x:v>
      </x:c>
      <x:c r="I25" s="37" t="str">
        <x:v>Modelo exacto; moto completa; ángulo distinto dentro de la galería del modelo.</x:v>
      </x:c>
    </x:row>
  </x:sheetData>
  <x:pageMargins left="0.7" right="0.7" top="0.75" bottom="0.75" header="0.3" footer="0.3"/>
</x:worksheet>
</file>