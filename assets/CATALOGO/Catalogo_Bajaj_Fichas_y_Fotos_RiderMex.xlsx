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fe14c5071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57e6a4d7dc048de"/>
    <x:sheet xmlns:r="http://schemas.openxmlformats.org/officeDocument/2006/relationships" name="FICHAS_TECNICAS" sheetId="2" r:id="R822e4e901e7d4685"/>
    <x:sheet xmlns:r="http://schemas.openxmlformats.org/officeDocument/2006/relationships" name="GALERIA" sheetId="3" r:id="R82924dc8619c42a4"/>
    <x:sheet xmlns:r="http://schemas.openxmlformats.org/officeDocument/2006/relationships" name="CONTROL_FOTOS" sheetId="4" r:id="R3d4b80894079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22"/>
      <x:color rgb="FFFFFF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  <x:font>
      <x:b/>
      <x:sz val="9"/>
      <x:color rgb="FF222222"/>
      <x:name val="Carlito"/>
    </x:font>
    <x:font>
      <x:b/>
      <x:sz val="20"/>
      <x:color rgb="FFFFFFFF"/>
      <x:name val="Carlito"/>
    </x:font>
    <x:font>
      <x:sz val="10"/>
      <x:color rgb="FF222222"/>
      <x:name val="Carlito"/>
    </x:font>
    <x:font>
      <x:b/>
      <x:sz val="14"/>
      <x:color rgb="FFFFFFFF"/>
      <x:name val="Carlito"/>
    </x:font>
    <x:font>
      <x:b/>
      <x:sz val="9"/>
      <x:color rgb="FF0563C1"/>
      <x:name val="Carlito"/>
    </x:font>
    <x:font>
      <x:b/>
      <x:sz val="11"/>
      <x:color rgb="FF0563C1"/>
      <x:name val="Carlito"/>
    </x:font>
    <x:font>
      <x:i/>
      <x:sz val="11"/>
      <x:color rgb="FF222222"/>
      <x:name val="Carlito"/>
    </x:font>
    <x:font>
      <x:b/>
      <x:sz val="11"/>
      <x:color rgb="FF222222"/>
      <x:name val="Carlito"/>
    </x:font>
    <x:font>
      <x:sz val="9"/>
      <x:color rgb="FF0563C1"/>
      <x:name val="Carlito"/>
    </x:font>
    <x:font>
      <x:i/>
      <x:sz val="9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71920"/>
      </x:patternFill>
    </x:fill>
    <x:fill>
      <x:patternFill patternType="solid">
        <x:fgColor rgb="FF1B1B1B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  <x:fill>
      <x:patternFill patternType="solid">
        <x:fgColor rgb="FFDFF2E1"/>
      </x:patternFill>
    </x:fill>
    <x:fill>
      <x:patternFill patternType="solid">
        <x:fgColor rgb="FFFFF0C2"/>
      </x:patternFill>
    </x:fill>
    <x:fill>
      <x:patternFill patternType="solid">
        <x:fgColor rgb="FFFADBD8"/>
      </x:patternFill>
    </x:fill>
    <x:fill>
      <x:patternFill patternType="solid">
        <x:fgColor rgb="FFA70F15"/>
      </x:patternFill>
    </x:fill>
    <x:fill>
      <x:patternFill patternType="solid">
        <x:fgColor rgb="FFFFF5F5"/>
      </x:patternFill>
    </x:fill>
    <x:fill>
      <x:patternFill patternType="solid">
        <x:fgColor rgb="FFFAFAFA"/>
      </x:patternFill>
    </x:fill>
    <x:fill>
      <x:patternFill patternType="solid">
        <x:fgColor rgb="FFFFF9E6"/>
      </x:patternFill>
    </x:fill>
  </x:fills>
  <x:borders count="2">
    <x:border/>
    <x:border/>
  </x:borders>
  <x:cellStyleXfs count="1">
    <x:xf numFmtId="0" fontId="0" fillId="0" borderId="0"/>
  </x:cellStyleXfs>
  <x:cellXfs count="1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1" xfId="0" applyNumberFormat="1" applyFont="1" applyFill="1" applyBorder="1"/>
    <x:xf numFmtId="0" fontId="10" fillId="11" borderId="1" xfId="0" applyNumberFormat="1" applyFont="1" applyFill="1" applyBorder="1" applyAlignment="1">
      <x:alignment wrapText="1"/>
    </x:xf>
    <x:xf numFmtId="0" fontId="10" fillId="11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left"/>
    </x:xf>
    <x:xf numFmtId="0" fontId="11" fillId="3" borderId="0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left"/>
    </x:xf>
    <x:xf numFmtId="0" fontId="11" fillId="3" borderId="1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horizont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horizont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horizont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 applyAlignment="1">
      <x:alignment horizontal="center" vertical="center"/>
    </x:xf>
    <x:xf numFmtId="0" fontId="14" fillId="5" borderId="1" xfId="0" applyNumberFormat="1" applyFont="1" applyFill="1" applyBorder="1"/>
    <x:xf numFmtId="0" fontId="14" fillId="5" borderId="1" xfId="0" applyNumberFormat="1" applyFont="1" applyFill="1" applyBorder="1" applyAlignment="1">
      <x:alignment horizontal="center"/>
    </x:xf>
    <x:xf numFmtId="0" fontId="14" fillId="5" borderId="1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horizontal="center"/>
    </x:xf>
    <x:xf numFmtId="0" fontId="15" fillId="7" borderId="1" xfId="0" applyNumberFormat="1" applyFont="1" applyFill="1" applyBorder="1"/>
    <x:xf numFmtId="0" fontId="15" fillId="7" borderId="1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horizontal="center"/>
    </x:xf>
    <x:xf numFmtId="0" fontId="15" fillId="8" borderId="1" xfId="0" applyNumberFormat="1" applyFont="1" applyFill="1" applyBorder="1"/>
    <x:xf numFmtId="0" fontId="15" fillId="8" borderId="1" xfId="0" applyNumberFormat="1" applyFont="1" applyFill="1" applyBorder="1" applyAlignment="1">
      <x:alignment horizontal="center"/>
    </x:xf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center"/>
    </x:xf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wrapText="1"/>
    </x:xf>
    <x:xf numFmtId="0" fontId="17" fillId="4" borderId="1" xfId="0" applyNumberFormat="1" applyFont="1" applyFill="1" applyBorder="1"/>
    <x:xf numFmtId="0" fontId="17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ce8808d004ff0" /><Relationship Type="http://schemas.openxmlformats.org/officeDocument/2006/relationships/theme" Target="/xl/theme/theme1.xml" Id="Rc2dd003998454612" /><Relationship Type="http://schemas.openxmlformats.org/officeDocument/2006/relationships/sharedStrings" Target="/xl/sharedStrings.xml" Id="R74bae501199946b7" /><Relationship Type="http://schemas.openxmlformats.org/officeDocument/2006/relationships/worksheet" Target="/xl/worksheets/sheet1.xml" Id="Rc57e6a4d7dc048de" /><Relationship Type="http://schemas.openxmlformats.org/officeDocument/2006/relationships/worksheet" Target="/xl/worksheets/sheet2.xml" Id="R822e4e901e7d4685" /><Relationship Type="http://schemas.openxmlformats.org/officeDocument/2006/relationships/worksheet" Target="/xl/worksheets/sheet3.xml" Id="R82924dc8619c42a4" /><Relationship Type="http://schemas.openxmlformats.org/officeDocument/2006/relationships/worksheet" Target="/xl/worksheets/sheet4.xml" Id="R3d4b80894079422e" /></Relationships>
</file>

<file path=xl/tables/table1.xml><?xml version="1.0" encoding="utf-8"?>
<x:table xmlns:x="http://schemas.openxmlformats.org/spreadsheetml/2006/main" id="1" name="BajajSpecsTable" displayName="BajajSpecsTable" ref="A1:V21" headerRowCount="1">
  <x:tableColumns count="22">
    <x:tableColumn id="1" name="No."/>
    <x:tableColumn id="2" name="Marca"/>
    <x:tableColumn id="3" name="Modelo"/>
    <x:tableColumn id="4" name="Familia"/>
    <x:tableColumn id="5" name="Cilindrada"/>
    <x:tableColumn id="6" name="Potencia"/>
    <x:tableColumn id="7" name="Torque"/>
    <x:tableColumn id="8" name="Alimentación"/>
    <x:tableColumn id="9" name="Refrigeración"/>
    <x:tableColumn id="10" name="Transmisión"/>
    <x:tableColumn id="11" name="Frenos"/>
    <x:tableColumn id="12" name="Suspensión delantera"/>
    <x:tableColumn id="13" name="Suspensión trasera"/>
    <x:tableColumn id="14" name="Neumáticos D/T"/>
    <x:tableColumn id="15" name="Tanque"/>
    <x:tableColumn id="16" name="Peso"/>
    <x:tableColumn id="17" name="Tablero"/>
    <x:tableColumn id="18" name="Rendimiento estimado"/>
    <x:tableColumn id="19" name="Estatus foto/modelo"/>
    <x:tableColumn id="20" name="Observación de control"/>
    <x:tableColumn id="21" name="Fuente técnica"/>
    <x:tableColumn id="22" name="Fuente galería"/>
  </x:tableColumns>
  <x:tableStyleInfo name="TableStyleMedium2" showRowStripes="1"/>
</x:table>
</file>

<file path=xl/tables/table2.xml><?xml version="1.0" encoding="utf-8"?>
<x:table xmlns:x="http://schemas.openxmlformats.org/spreadsheetml/2006/main" id="2" name="PhotoControlTable" displayName="PhotoControlTable" ref="A1:I81" headerRowCount="1">
  <x:tableColumns count="9">
    <x:tableColumn id="1" name="No."/>
    <x:tableColumn id="2" name="Modelo"/>
    <x:tableColumn id="3" name="Foto"/>
    <x:tableColumn id="4" name="Tipo de toma / color"/>
    <x:tableColumn id="5" name="URL miniatura verificada"/>
    <x:tableColumn id="6" name="URL alta resolución"/>
    <x:tableColumn id="7" name="Página exacta del modelo"/>
    <x:tableColumn id="8" name="Estatus"/>
    <x:tableColumn id="9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2be64bdefa44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7ec407d5c8844f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CATÁLOGO BAJAJ — FICHAS TÉCNICAS Y FOTOGRAFÍAS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3" t="str">
        <x:v>Preparado para RiderMex • 20 modelos • 4 fotografías verificadas por modelo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>
      <x:c r="A5" s="20" t="str">
        <x:v>RESUMEN</x:v>
      </x:c>
      <x:c r="B5" s="20" t="str">
        <x:v>VALOR</x:v>
      </x:c>
      <x:c r="D5" s="20" t="str">
        <x:v>CÓMO USAR ESTE ARCHIVO</x:v>
      </x:c>
      <x:c r="E5" s="20"/>
      <x:c r="F5" s="20"/>
      <x:c r="G5" s="20"/>
      <x:c r="H5" s="20"/>
      <x:c r="I5" s="20"/>
      <x:c r="J5" s="20"/>
    </x:row>
    <x:row r="6">
      <x:c r="A6" s="24" t="str">
        <x:v>Modelos</x:v>
      </x:c>
      <x:c r="B6" s="24" t="n">
        <x:v>20</x:v>
      </x:c>
      <x:c r="D6" s="29" t="str">
        <x:v>1. FICHAS_TECNICAS reúne los datos comparables y la fuente de cada modelo.
2. GALERIA muestra cuatro fotografías por modelo mediante la función IMAGE de Excel 365/Excel web.
3. Debajo de cada foto hay un enlace directo en alta resolución para descargarla y subirla a la página.
4. CONTROL_FOTOS registra cada URL, el estatus de revisión y las advertencias entre versiones parecidas.</x:v>
      </x:c>
      <x:c r="E6" s="29"/>
      <x:c r="F6" s="29"/>
      <x:c r="G6" s="29"/>
      <x:c r="H6" s="29"/>
      <x:c r="I6" s="29"/>
      <x:c r="J6" s="29"/>
    </x:row>
    <x:row r="7">
      <x:c r="A7" s="24" t="str">
        <x:v>Fotografías</x:v>
      </x:c>
      <x:c r="B7" s="24" t="n">
        <x:v>80</x:v>
      </x:c>
      <x:c r="D7" s="29"/>
      <x:c r="E7" s="29"/>
      <x:c r="F7" s="29"/>
      <x:c r="G7" s="29"/>
      <x:c r="H7" s="29"/>
      <x:c r="I7" s="29"/>
      <x:c r="J7" s="29"/>
    </x:row>
    <x:row r="8">
      <x:c r="A8" s="24" t="str">
        <x:v>Fotos por modelo</x:v>
      </x:c>
      <x:c r="B8" s="24" t="n">
        <x:v>4</x:v>
      </x:c>
      <x:c r="D8" s="29"/>
      <x:c r="E8" s="29"/>
      <x:c r="F8" s="29"/>
      <x:c r="G8" s="29"/>
      <x:c r="H8" s="29"/>
      <x:c r="I8" s="29"/>
      <x:c r="J8" s="29"/>
    </x:row>
    <x:row r="9">
      <x:c r="A9" s="24" t="str">
        <x:v>Fecha de revisión</x:v>
      </x:c>
      <x:c r="B9" s="24" t="str">
        <x:v>29/07/2026</x:v>
      </x:c>
      <x:c r="D9" s="29"/>
      <x:c r="E9" s="29"/>
      <x:c r="F9" s="29"/>
      <x:c r="G9" s="29"/>
      <x:c r="H9" s="29"/>
      <x:c r="I9" s="29"/>
      <x:c r="J9" s="29"/>
    </x:row>
    <x:row r="10">
      <x:c r="D10" s="29"/>
      <x:c r="E10" s="29"/>
      <x:c r="F10" s="29"/>
      <x:c r="G10" s="29"/>
      <x:c r="H10" s="29"/>
      <x:c r="I10" s="29"/>
      <x:c r="J10" s="29"/>
    </x:row>
    <x:row r="12">
      <x:c r="A12" s="20" t="str">
        <x:v>SEMÁFORO DE CONTROL</x:v>
      </x:c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36" t="str">
        <x:v>APROBADA</x:v>
      </x:c>
      <x:c r="B13" s="42" t="str">
        <x:v>REVISAR VERSIÓN</x:v>
      </x:c>
      <x:c r="C13" s="48" t="str">
        <x:v>APROBADA CON CORRECCIÓN</x:v>
      </x:c>
    </x:row>
    <x:row r="14">
      <x:c r="A14" s="54" t="str">
        <x:v>Foto y carrocería coinciden con el modelo publicado en la ficha fuente.</x:v>
      </x:c>
      <x:c r="B14" s="54"/>
      <x:c r="C14" s="54"/>
      <x:c r="D14" s="54" t="str">
        <x:v>La carrocería coincide, pero la diferencia de versión puede no verse en fotos exteriores; validar accesorios, FI/Car, ABS o gráficos.</x:v>
      </x:c>
      <x:c r="E14" s="54"/>
      <x:c r="F14" s="54"/>
      <x:c r="G14" s="54" t="str">
        <x:v>Se corrigió una inconsistencia evidente de la ficha comercial usando la plataforma/modelo conocido y se dejó la advertencia.</x:v>
      </x:c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8">
      <x:c r="A18" s="60" t="str">
        <x:v>NOTA IMPORTANTE</x:v>
      </x:c>
      <x:c r="B18" s="60"/>
      <x:c r="C18" s="60"/>
      <x:c r="D18" s="60"/>
      <x:c r="E18" s="60"/>
      <x:c r="F18" s="60"/>
      <x:c r="G18" s="60"/>
      <x:c r="H18" s="60"/>
      <x:c r="I18" s="60"/>
      <x:c r="J18" s="60"/>
    </x:row>
    <x:row r="19">
      <x:c r="A19" s="67" t="str">
        <x:v>Las fotografías fueron revisadas contra la página exacta de cada modelo y sus nombres de archivo. En versiones exteriormente idénticas (N125 FI/Car, Dominar 400 TE/UG y NS400Z/UG), la foto por sí sola no garantiza el sistema de alimentación o el equipamiento. Antes de publicar inventario real, compara calcomanías, ABS, barras, accesorios touring y año de la unidad.</x:v>
      </x:c>
      <x:c r="B19" s="67"/>
      <x:c r="C19" s="67"/>
      <x:c r="D19" s="67"/>
      <x:c r="E19" s="67"/>
      <x:c r="F19" s="67"/>
      <x:c r="G19" s="67"/>
      <x:c r="H19" s="67"/>
      <x:c r="I19" s="67"/>
      <x:c r="J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</x:row>
  </x:sheetData>
  <x:mergeCells>
    <x:mergeCell ref="A1:J2"/>
    <x:mergeCell ref="A3:J3"/>
    <x:mergeCell ref="D5:J5"/>
    <x:mergeCell ref="D6:J10"/>
    <x:mergeCell ref="A12:J12"/>
    <x:mergeCell ref="A14:C16"/>
    <x:mergeCell ref="D14:F16"/>
    <x:mergeCell ref="G14:J16"/>
    <x:mergeCell ref="A18:J18"/>
    <x:mergeCell ref="A19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29" hidden="0" customWidth="1"/>
    <x:col min="4" max="4" width="14" hidden="0" customWidth="1"/>
    <x:col min="5" max="5" width="14" hidden="0" customWidth="1"/>
    <x:col min="6" max="6" width="20" hidden="0" customWidth="1"/>
    <x:col min="7" max="7" width="18" hidden="0" customWidth="1"/>
    <x:col min="8" max="8" width="24" hidden="0" customWidth="1"/>
    <x:col min="9" max="9" width="18" hidden="0" customWidth="1"/>
    <x:col min="10" max="10" width="16" hidden="0" customWidth="1"/>
    <x:col min="11" max="11" width="32" hidden="0" customWidth="1"/>
    <x:col min="12" max="12" width="27" hidden="0" customWidth="1"/>
    <x:col min="13" max="13" width="25" hidden="0" customWidth="1"/>
    <x:col min="14" max="14" width="22" hidden="0" customWidth="1"/>
    <x:col min="15" max="15" width="12" hidden="0" customWidth="1"/>
    <x:col min="16" max="16" width="14" hidden="0" customWidth="1"/>
    <x:col min="17" max="17" width="22" hidden="0" customWidth="1"/>
    <x:col min="18" max="18" width="18" hidden="0" customWidth="1"/>
    <x:col min="19" max="19" width="24" hidden="0" customWidth="1"/>
    <x:col min="20" max="20" width="52" hidden="0" customWidth="1"/>
    <x:col min="21" max="21" width="45" hidden="0" customWidth="1"/>
    <x:col min="22" max="22" width="45" hidden="0" customWidth="1"/>
  </x:cols>
  <x:sheetData>
    <x:row r="1" ht="42" customHeight="1">
      <x:c r="A1" s="75" t="str">
        <x:v>No.</x:v>
      </x:c>
      <x:c r="B1" s="75" t="str">
        <x:v>Marca</x:v>
      </x:c>
      <x:c r="C1" s="75" t="str">
        <x:v>Modelo</x:v>
      </x:c>
      <x:c r="D1" s="75" t="str">
        <x:v>Familia</x:v>
      </x:c>
      <x:c r="E1" s="75" t="str">
        <x:v>Cilindrada</x:v>
      </x:c>
      <x:c r="F1" s="75" t="str">
        <x:v>Potencia</x:v>
      </x:c>
      <x:c r="G1" s="75" t="str">
        <x:v>Torque</x:v>
      </x:c>
      <x:c r="H1" s="75" t="str">
        <x:v>Alimentación</x:v>
      </x:c>
      <x:c r="I1" s="75" t="str">
        <x:v>Refrigeración</x:v>
      </x:c>
      <x:c r="J1" s="75" t="str">
        <x:v>Transmisión</x:v>
      </x:c>
      <x:c r="K1" s="75" t="str">
        <x:v>Frenos</x:v>
      </x:c>
      <x:c r="L1" s="75" t="str">
        <x:v>Suspensión delantera</x:v>
      </x:c>
      <x:c r="M1" s="75" t="str">
        <x:v>Suspensión trasera</x:v>
      </x:c>
      <x:c r="N1" s="75" t="str">
        <x:v>Neumáticos D/T</x:v>
      </x:c>
      <x:c r="O1" s="75" t="str">
        <x:v>Tanque</x:v>
      </x:c>
      <x:c r="P1" s="75" t="str">
        <x:v>Peso</x:v>
      </x:c>
      <x:c r="Q1" s="75" t="str">
        <x:v>Tablero</x:v>
      </x:c>
      <x:c r="R1" s="75" t="str">
        <x:v>Rendimiento estimado</x:v>
      </x:c>
      <x:c r="S1" s="75" t="str">
        <x:v>Estatus foto/modelo</x:v>
      </x:c>
      <x:c r="T1" s="75" t="str">
        <x:v>Observación de control</x:v>
      </x:c>
      <x:c r="U1" s="75" t="str">
        <x:v>Fuente técnica</x:v>
      </x:c>
      <x:c r="V1" s="75" t="str">
        <x:v>Fuente galería</x:v>
      </x:c>
    </x:row>
    <x:row r="2" ht="72" customHeight="1">
      <x:c r="A2" s="86" t="n">
        <x:v>1</x:v>
      </x:c>
      <x:c r="B2" s="86" t="str">
        <x:v>Bajaj</x:v>
      </x:c>
      <x:c r="C2" s="86" t="str">
        <x:v>Avenger Cruise 220</x:v>
      </x:c>
      <x:c r="D2" s="86" t="str">
        <x:v>Avenger</x:v>
      </x:c>
      <x:c r="E2" s="86" t="str">
        <x:v>220 cc</x:v>
      </x:c>
      <x:c r="F2" s="86" t="str">
        <x:v>19.04 HP @ 8,500 rpm</x:v>
      </x:c>
      <x:c r="G2" s="86" t="str">
        <x:v>17.05 Nm @ 7,000 rpm</x:v>
      </x:c>
      <x:c r="H2" s="86" t="str">
        <x:v>Inyección electrónica (FI)</x:v>
      </x:c>
      <x:c r="I2" s="86" t="str">
        <x:v>Refrigeración por aceite</x:v>
      </x:c>
      <x:c r="J2" s="86" t="str">
        <x:v>5 velocidades</x:v>
      </x:c>
      <x:c r="K2" s="86" t="str">
        <x:v>Disco delantero con ABS monocanal / tambor trasero</x:v>
      </x:c>
      <x:c r="L2" s="86" t="str">
        <x:v>Telescópica con buje antifricción</x:v>
      </x:c>
      <x:c r="M2" s="86" t="str">
        <x:v>Doble amortiguador</x:v>
      </x:c>
      <x:c r="N2" s="86" t="str">
        <x:v>90/90-17 / 130/90-15</x:v>
      </x:c>
      <x:c r="O2" s="86" t="str">
        <x:v>13–14 L</x:v>
      </x:c>
      <x:c r="P2" s="86" t="str">
        <x:v>159 kg</x:v>
      </x:c>
      <x:c r="Q2" s="86" t="str">
        <x:v>Análogo con indicador en tanque</x:v>
      </x:c>
      <x:c r="R2" s="86" t="str">
        <x:v>≈24–30 km/L</x:v>
      </x:c>
      <x:c r="S2" s="90" t="str">
        <x:v>APROBADA</x:v>
      </x:c>
      <x:c r="T2" s="86" t="str">
        <x:v>Especificaciones principales tomadas de Bajaj México; la capacidad aparece como 13 L en la tabla y 14 L en FAQ oficial.</x:v>
      </x:c>
      <x:c r="U2" s="86" t="str">
        <x:v>https://www.bajajauto.com/es-mx/motocicletas/avenger-cruise-220</x:v>
      </x:c>
      <x:c r="V2" s="86" t="str">
        <x:v>https://www.galgo.com/mx/motos/MX1335-bajaj-avenger-220-cruise</x:v>
      </x:c>
    </x:row>
    <x:row r="3" ht="72" customHeight="1">
      <x:c r="A3" s="82" t="n">
        <x:v>2</x:v>
      </x:c>
      <x:c r="B3" s="82" t="str">
        <x:v>Bajaj</x:v>
      </x:c>
      <x:c r="C3" s="82" t="str">
        <x:v>Boxer BM 150</x:v>
      </x:c>
      <x:c r="D3" s="82" t="str">
        <x:v>Boxer</x:v>
      </x:c>
      <x:c r="E3" s="82" t="str">
        <x:v>144.8 cc</x:v>
      </x:c>
      <x:c r="F3" s="82" t="str">
        <x:v>11.8 HP</x:v>
      </x:c>
      <x:c r="G3" s="82" t="str">
        <x:v>≈12.3 Nm</x:v>
      </x:c>
      <x:c r="H3" s="82" t="str">
        <x:v>Carburador</x:v>
      </x:c>
      <x:c r="I3" s="82" t="str">
        <x:v>Aire</x:v>
      </x:c>
      <x:c r="J3" s="82" t="str">
        <x:v>5 velocidades</x:v>
      </x:c>
      <x:c r="K3" s="82" t="str">
        <x:v>Tambor delantero / tambor trasero</x:v>
      </x:c>
      <x:c r="L3" s="82" t="str">
        <x:v>Horquilla telescópica</x:v>
      </x:c>
      <x:c r="M3" s="82" t="str">
        <x:v>Doble amortiguador SNS</x:v>
      </x:c>
      <x:c r="N3" s="82" t="str">
        <x:v>90/90-17 / 100/90-17</x:v>
      </x:c>
      <x:c r="O3" s="82" t="str">
        <x:v>10.7 L</x:v>
      </x:c>
      <x:c r="P3" s="82" t="str">
        <x:v>≈123 kg</x:v>
      </x:c>
      <x:c r="Q3" s="82" t="str">
        <x:v>Análogo</x:v>
      </x:c>
      <x:c r="R3" s="82" t="str">
        <x:v>≈45 km/L</x:v>
      </x:c>
      <x:c r="S3" s="90" t="str">
        <x:v>APROBADA</x:v>
      </x:c>
      <x:c r="T3" s="82" t="str">
        <x:v>Modelo utilitario. El peso de algunas fichas comerciales es inconsistente; se usa el valor típico de la configuración BM150.</x:v>
      </x:c>
      <x:c r="U3" s="82" t="str">
        <x:v>https://www.galgo.com/mx/motos/MX250-bajaj-boxer-bm-150</x:v>
      </x:c>
      <x:c r="V3" s="82" t="str">
        <x:v>https://www.galgo.com/mx/motos/MX250-bajaj-boxer-bm-150</x:v>
      </x:c>
    </x:row>
    <x:row r="4" ht="72" customHeight="1">
      <x:c r="A4" s="86" t="n">
        <x:v>3</x:v>
      </x:c>
      <x:c r="B4" s="86" t="str">
        <x:v>Bajaj</x:v>
      </x:c>
      <x:c r="C4" s="86" t="str">
        <x:v>Dominar 250 UG</x:v>
      </x:c>
      <x:c r="D4" s="86" t="str">
        <x:v>Dominar</x:v>
      </x:c>
      <x:c r="E4" s="86" t="str">
        <x:v>248.8–249 cc</x:v>
      </x:c>
      <x:c r="F4" s="86" t="str">
        <x:v>26.63 HP</x:v>
      </x:c>
      <x:c r="G4" s="86" t="str">
        <x:v>23.5 Nm</x:v>
      </x:c>
      <x:c r="H4" s="86" t="str">
        <x:v>Inyección electrónica</x:v>
      </x:c>
      <x:c r="I4" s="86" t="str">
        <x:v>Líquido</x:v>
      </x:c>
      <x:c r="J4" s="86" t="str">
        <x:v>6 velocidades</x:v>
      </x:c>
      <x:c r="K4" s="86" t="str">
        <x:v>Disco ABS doble canal / disco ABS</x:v>
      </x:c>
      <x:c r="L4" s="86" t="str">
        <x:v>Horquilla invertida</x:v>
      </x:c>
      <x:c r="M4" s="86" t="str">
        <x:v>Monoshock Nitrox</x:v>
      </x:c>
      <x:c r="N4" s="86" t="str">
        <x:v>100/80-17 / 130/80-17</x:v>
      </x:c>
      <x:c r="O4" s="86" t="str">
        <x:v>13 L</x:v>
      </x:c>
      <x:c r="P4" s="86" t="str">
        <x:v>≈180 kg</x:v>
      </x:c>
      <x:c r="Q4" s="86" t="str">
        <x:v>Digital</x:v>
      </x:c>
      <x:c r="R4" s="86" t="str">
        <x:v>≈37 km/L</x:v>
      </x:c>
      <x:c r="S4" s="90" t="str">
        <x:v>APROBADA</x:v>
      </x:c>
      <x:c r="T4" s="86" t="str">
        <x:v>UG: versión actualizada. Confirmar color/año disponible antes de publicar inventario.</x:v>
      </x:c>
      <x:c r="U4" s="86" t="str">
        <x:v>https://www.galgo.com/mx/motos/MX246-bajaj-dominar-250-ug</x:v>
      </x:c>
      <x:c r="V4" s="86" t="str">
        <x:v>https://www.galgo.com/mx/motos/MX246-bajaj-dominar-250-ug</x:v>
      </x:c>
    </x:row>
    <x:row r="5" ht="72" customHeight="1">
      <x:c r="A5" s="82" t="n">
        <x:v>4</x:v>
      </x:c>
      <x:c r="B5" s="82" t="str">
        <x:v>Bajaj</x:v>
      </x:c>
      <x:c r="C5" s="82" t="str">
        <x:v>Dominar 400 TE</x:v>
      </x:c>
      <x:c r="D5" s="82" t="str">
        <x:v>Dominar</x:v>
      </x:c>
      <x:c r="E5" s="82" t="str">
        <x:v>373.3 cc</x:v>
      </x:c>
      <x:c r="F5" s="82" t="str">
        <x:v>39.9 HP</x:v>
      </x:c>
      <x:c r="G5" s="82" t="str">
        <x:v>35 Nm</x:v>
      </x:c>
      <x:c r="H5" s="82" t="str">
        <x:v>Inyección electrónica</x:v>
      </x:c>
      <x:c r="I5" s="82" t="str">
        <x:v>Líquido</x:v>
      </x:c>
      <x:c r="J5" s="82" t="str">
        <x:v>6 velocidades</x:v>
      </x:c>
      <x:c r="K5" s="82" t="str">
        <x:v>Disco ABS doble canal / disco ABS</x:v>
      </x:c>
      <x:c r="L5" s="82" t="str">
        <x:v>Horquilla invertida 43 mm</x:v>
      </x:c>
      <x:c r="M5" s="82" t="str">
        <x:v>Monoshock Nitrox</x:v>
      </x:c>
      <x:c r="N5" s="82" t="str">
        <x:v>110/70-17 / 150/60-17</x:v>
      </x:c>
      <x:c r="O5" s="82" t="str">
        <x:v>13 L</x:v>
      </x:c>
      <x:c r="P5" s="82" t="str">
        <x:v>≈193 kg con kit touring</x:v>
      </x:c>
      <x:c r="Q5" s="82" t="str">
        <x:v>Digital</x:v>
      </x:c>
      <x:c r="R5" s="82" t="str">
        <x:v>≈25–28 km/L</x:v>
      </x:c>
      <x:c r="S5" s="94" t="str">
        <x:v>REVISAR VERSIÓN</x:v>
      </x:c>
      <x:c r="T5" s="82" t="str">
        <x:v>TE/Touring Edition: la galería del proveedor mezcla nombres de archivo UG/Touring. Verificar que la unidad incluya parabrisas, defensas, cubrepuños y parrilla/soporte touring.</x:v>
      </x:c>
      <x:c r="U5" s="82" t="str">
        <x:v>https://www.galgo.com/mx/motos/MX253-bajaj-dominar-400-te</x:v>
      </x:c>
      <x:c r="V5" s="82" t="str">
        <x:v>https://www.galgo.com/mx/motos/MX253-bajaj-dominar-400-te</x:v>
      </x:c>
    </x:row>
    <x:row r="6" ht="72" customHeight="1">
      <x:c r="A6" s="86" t="n">
        <x:v>5</x:v>
      </x:c>
      <x:c r="B6" s="86" t="str">
        <x:v>Bajaj</x:v>
      </x:c>
      <x:c r="C6" s="86" t="str">
        <x:v>Dominar 400 UG</x:v>
      </x:c>
      <x:c r="D6" s="86" t="str">
        <x:v>Dominar</x:v>
      </x:c>
      <x:c r="E6" s="86" t="str">
        <x:v>373.3 cc</x:v>
      </x:c>
      <x:c r="F6" s="86" t="str">
        <x:v>39.9 HP</x:v>
      </x:c>
      <x:c r="G6" s="86" t="str">
        <x:v>35 Nm</x:v>
      </x:c>
      <x:c r="H6" s="86" t="str">
        <x:v>Inyección electrónica</x:v>
      </x:c>
      <x:c r="I6" s="86" t="str">
        <x:v>Líquido</x:v>
      </x:c>
      <x:c r="J6" s="86" t="str">
        <x:v>6 velocidades</x:v>
      </x:c>
      <x:c r="K6" s="86" t="str">
        <x:v>Disco ABS doble canal / disco ABS</x:v>
      </x:c>
      <x:c r="L6" s="86" t="str">
        <x:v>Horquilla invertida 43 mm</x:v>
      </x:c>
      <x:c r="M6" s="86" t="str">
        <x:v>Monoshock Nitrox</x:v>
      </x:c>
      <x:c r="N6" s="86" t="str">
        <x:v>110/70-17 / 150/60-17</x:v>
      </x:c>
      <x:c r="O6" s="86" t="str">
        <x:v>13 L</x:v>
      </x:c>
      <x:c r="P6" s="86" t="str">
        <x:v>≈187–193 kg</x:v>
      </x:c>
      <x:c r="Q6" s="86" t="str">
        <x:v>Digital</x:v>
      </x:c>
      <x:c r="R6" s="86" t="str">
        <x:v>≈25 km/L</x:v>
      </x:c>
      <x:c r="S6" s="94" t="str">
        <x:v>REVISAR VERSIÓN</x:v>
      </x:c>
      <x:c r="T6" s="86" t="str">
        <x:v>La ficha comercial denomina UG pero varias imágenes aparecen etiquetadas Touring. Confirmar accesorios instalados en la unidad real.</x:v>
      </x:c>
      <x:c r="U6" s="86" t="str">
        <x:v>https://www.galgo.com/mx/motos/MX247-bajaj-dominar-400-ug</x:v>
      </x:c>
      <x:c r="V6" s="86" t="str">
        <x:v>https://www.galgo.com/mx/motos/MX247-bajaj-dominar-400-ug</x:v>
      </x:c>
    </x:row>
    <x:row r="7" ht="72" customHeight="1">
      <x:c r="A7" s="82" t="n">
        <x:v>6</x:v>
      </x:c>
      <x:c r="B7" s="82" t="str">
        <x:v>Bajaj</x:v>
      </x:c>
      <x:c r="C7" s="82" t="str">
        <x:v>Pulsar N 125 FI CBS</x:v>
      </x:c>
      <x:c r="D7" s="82" t="str">
        <x:v>Pulsar N</x:v>
      </x:c>
      <x:c r="E7" s="82" t="str">
        <x:v>124.6 cc</x:v>
      </x:c>
      <x:c r="F7" s="82" t="str">
        <x:v>12 HP</x:v>
      </x:c>
      <x:c r="G7" s="82" t="str">
        <x:v>11 Nm</x:v>
      </x:c>
      <x:c r="H7" s="82" t="str">
        <x:v>Inyección electrónica</x:v>
      </x:c>
      <x:c r="I7" s="82" t="str">
        <x:v>Aire</x:v>
      </x:c>
      <x:c r="J7" s="82" t="str">
        <x:v>5 velocidades</x:v>
      </x:c>
      <x:c r="K7" s="82" t="str">
        <x:v>Disco delantero / tambor trasero CBS</x:v>
      </x:c>
      <x:c r="L7" s="82" t="str">
        <x:v>Telescópica</x:v>
      </x:c>
      <x:c r="M7" s="82" t="str">
        <x:v>Monoshock</x:v>
      </x:c>
      <x:c r="N7" s="82" t="str">
        <x:v>80/100-17 / 110/80-17</x:v>
      </x:c>
      <x:c r="O7" s="82" t="str">
        <x:v>9.5 L</x:v>
      </x:c>
      <x:c r="P7" s="82" t="str">
        <x:v>125 kg</x:v>
      </x:c>
      <x:c r="Q7" s="82" t="str">
        <x:v>Digital</x:v>
      </x:c>
      <x:c r="R7" s="82" t="str">
        <x:v>≈60 km/L</x:v>
      </x:c>
      <x:c r="S7" s="94" t="str">
        <x:v>REVISAR VERSIÓN</x:v>
      </x:c>
      <x:c r="T7" s="82" t="str">
        <x:v>La galería comercial es compartida con N125 carburada y la alimentación no se distingue en tomas exteriores. Validar calcomanía FI/CBS y detalle del motor.</x:v>
      </x:c>
      <x:c r="U7" s="82" t="str">
        <x:v>https://www.galgo.com/mx/motos/MX3098-bajaj-pulsar-n-125</x:v>
      </x:c>
      <x:c r="V7" s="82" t="str">
        <x:v>https://www.galgo.com/mx/motos/MX3098-bajaj-pulsar-n-125</x:v>
      </x:c>
    </x:row>
    <x:row r="8" ht="72" customHeight="1">
      <x:c r="A8" s="86" t="n">
        <x:v>7</x:v>
      </x:c>
      <x:c r="B8" s="86" t="str">
        <x:v>Bajaj</x:v>
      </x:c>
      <x:c r="C8" s="86" t="str">
        <x:v>Pulsar N 125 Car</x:v>
      </x:c>
      <x:c r="D8" s="86" t="str">
        <x:v>Pulsar N</x:v>
      </x:c>
      <x:c r="E8" s="86" t="str">
        <x:v>125 cc</x:v>
      </x:c>
      <x:c r="F8" s="86" t="str">
        <x:v>11.5 HP</x:v>
      </x:c>
      <x:c r="G8" s="86" t="str">
        <x:v>11 Nm</x:v>
      </x:c>
      <x:c r="H8" s="86" t="str">
        <x:v>Carburador</x:v>
      </x:c>
      <x:c r="I8" s="86" t="str">
        <x:v>Aire</x:v>
      </x:c>
      <x:c r="J8" s="86" t="str">
        <x:v>5 velocidades</x:v>
      </x:c>
      <x:c r="K8" s="86" t="str">
        <x:v>Disco delantero / tambor trasero</x:v>
      </x:c>
      <x:c r="L8" s="86" t="str">
        <x:v>Telescópica</x:v>
      </x:c>
      <x:c r="M8" s="86" t="str">
        <x:v>Monoshock</x:v>
      </x:c>
      <x:c r="N8" s="86" t="str">
        <x:v>90/90-17 / 120/80-17</x:v>
      </x:c>
      <x:c r="O8" s="86" t="str">
        <x:v>9.5 L</x:v>
      </x:c>
      <x:c r="P8" s="86" t="str">
        <x:v>125 kg</x:v>
      </x:c>
      <x:c r="Q8" s="86" t="str">
        <x:v>Digital</x:v>
      </x:c>
      <x:c r="R8" s="86" t="str">
        <x:v>≈40 km/L</x:v>
      </x:c>
      <x:c r="S8" s="94" t="str">
        <x:v>REVISAR VERSIÓN</x:v>
      </x:c>
      <x:c r="T8" s="86" t="str">
        <x:v>La galería comercial es compartida con N125 FI. Confirmar carburador, calcomanías y versión antes de cargar como foto principal.</x:v>
      </x:c>
      <x:c r="U8" s="86" t="str">
        <x:v>https://www.galgo.com/mx/motos/MX3506-bajaj-pulsar-n-125-carburada</x:v>
      </x:c>
      <x:c r="V8" s="86" t="str">
        <x:v>https://www.galgo.com/mx/motos/MX3506-bajaj-pulsar-n-125-carburada</x:v>
      </x:c>
    </x:row>
    <x:row r="9" ht="72" customHeight="1">
      <x:c r="A9" s="82" t="n">
        <x:v>8</x:v>
      </x:c>
      <x:c r="B9" s="82" t="str">
        <x:v>Bajaj</x:v>
      </x:c>
      <x:c r="C9" s="82" t="str">
        <x:v>Pulsar NS 125 UG</x:v>
      </x:c>
      <x:c r="D9" s="82" t="str">
        <x:v>Pulsar NS</x:v>
      </x:c>
      <x:c r="E9" s="82" t="str">
        <x:v>125 cc</x:v>
      </x:c>
      <x:c r="F9" s="82" t="str">
        <x:v>12 HP</x:v>
      </x:c>
      <x:c r="G9" s="82" t="str">
        <x:v>11 Nm</x:v>
      </x:c>
      <x:c r="H9" s="82" t="str">
        <x:v>Según versión/mercado; confirmar unidad</x:v>
      </x:c>
      <x:c r="I9" s="82" t="str">
        <x:v>Aire</x:v>
      </x:c>
      <x:c r="J9" s="82" t="str">
        <x:v>5 velocidades</x:v>
      </x:c>
      <x:c r="K9" s="82" t="str">
        <x:v>Disco delantero / tambor trasero</x:v>
      </x:c>
      <x:c r="L9" s="82" t="str">
        <x:v>Horquilla telescópica</x:v>
      </x:c>
      <x:c r="M9" s="82" t="str">
        <x:v>Monoshock</x:v>
      </x:c>
      <x:c r="N9" s="82" t="str">
        <x:v>80/100-17 / 100/90-17</x:v>
      </x:c>
      <x:c r="O9" s="82" t="str">
        <x:v>10 L</x:v>
      </x:c>
      <x:c r="P9" s="82" t="str">
        <x:v>141 kg</x:v>
      </x:c>
      <x:c r="Q9" s="82" t="str">
        <x:v>Digital/Análogo</x:v>
      </x:c>
      <x:c r="R9" s="82" t="str">
        <x:v>≈45 km/L</x:v>
      </x:c>
      <x:c r="S9" s="90" t="str">
        <x:v>APROBADA</x:v>
      </x:c>
      <x:c r="T9" s="82" t="str">
        <x:v>Las cuatro fotos corresponden a la carrocería NS125 UG y muestran colores distintos.</x:v>
      </x:c>
      <x:c r="U9" s="82" t="str">
        <x:v>https://www.galgo.com/mx/motos/MX1512-bajaj-pulsar-ns-125-ug</x:v>
      </x:c>
      <x:c r="V9" s="82" t="str">
        <x:v>https://www.galgo.com/mx/motos/MX1512-bajaj-pulsar-ns-125-ug</x:v>
      </x:c>
    </x:row>
    <x:row r="10" ht="72" customHeight="1">
      <x:c r="A10" s="86" t="n">
        <x:v>9</x:v>
      </x:c>
      <x:c r="B10" s="86" t="str">
        <x:v>Bajaj</x:v>
      </x:c>
      <x:c r="C10" s="86" t="str">
        <x:v>Pulsar N 160</x:v>
      </x:c>
      <x:c r="D10" s="86" t="str">
        <x:v>Pulsar N</x:v>
      </x:c>
      <x:c r="E10" s="86" t="str">
        <x:v>164.82 cc</x:v>
      </x:c>
      <x:c r="F10" s="86" t="str">
        <x:v>15.7 HP</x:v>
      </x:c>
      <x:c r="G10" s="86" t="str">
        <x:v>14.6 Nm</x:v>
      </x:c>
      <x:c r="H10" s="86" t="str">
        <x:v>Carburador</x:v>
      </x:c>
      <x:c r="I10" s="86" t="str">
        <x:v>Aire/aceite según configuración</x:v>
      </x:c>
      <x:c r="J10" s="86" t="str">
        <x:v>5 velocidades</x:v>
      </x:c>
      <x:c r="K10" s="86" t="str">
        <x:v>Disco delantero / disco trasero</x:v>
      </x:c>
      <x:c r="L10" s="86" t="str">
        <x:v>Telescópica</x:v>
      </x:c>
      <x:c r="M10" s="86" t="str">
        <x:v>Monoshock Nitrox</x:v>
      </x:c>
      <x:c r="N10" s="86" t="str">
        <x:v>100/80-17 / 130/70-17</x:v>
      </x:c>
      <x:c r="O10" s="86" t="str">
        <x:v>14 L</x:v>
      </x:c>
      <x:c r="P10" s="86" t="str">
        <x:v>154 kg</x:v>
      </x:c>
      <x:c r="Q10" s="86" t="str">
        <x:v>Mixto</x:v>
      </x:c>
      <x:c r="R10" s="86" t="str">
        <x:v>≈38–40 km/L</x:v>
      </x:c>
      <x:c r="S10" s="90" t="str">
        <x:v>APROBADA</x:v>
      </x:c>
      <x:c r="T10" s="86" t="str">
        <x:v>Versión base sin la denominación FI + ABS. No mezclar con las fotos Premium de barras invertidas.</x:v>
      </x:c>
      <x:c r="U10" s="86" t="str">
        <x:v>https://www.galgo.com/mx/motos/MX451-bajaj-pulsar-n-160</x:v>
      </x:c>
      <x:c r="V10" s="86" t="str">
        <x:v>https://www.galgo.com/mx/motos/MX451-bajaj-pulsar-n-160</x:v>
      </x:c>
    </x:row>
    <x:row r="11" ht="72" customHeight="1">
      <x:c r="A11" s="82" t="n">
        <x:v>10</x:v>
      </x:c>
      <x:c r="B11" s="82" t="str">
        <x:v>Bajaj</x:v>
      </x:c>
      <x:c r="C11" s="82" t="str">
        <x:v>Pulsar NS 160</x:v>
      </x:c>
      <x:c r="D11" s="82" t="str">
        <x:v>Pulsar NS</x:v>
      </x:c>
      <x:c r="E11" s="82" t="str">
        <x:v>160 cc</x:v>
      </x:c>
      <x:c r="F11" s="82" t="str">
        <x:v>15.5 HP</x:v>
      </x:c>
      <x:c r="G11" s="82" t="str">
        <x:v>14.6 Nm</x:v>
      </x:c>
      <x:c r="H11" s="82" t="str">
        <x:v>Inyección electrónica</x:v>
      </x:c>
      <x:c r="I11" s="82" t="str">
        <x:v>Aire</x:v>
      </x:c>
      <x:c r="J11" s="82" t="str">
        <x:v>5 velocidades</x:v>
      </x:c>
      <x:c r="K11" s="82" t="str">
        <x:v>Disco delantero CBS / disco trasero</x:v>
      </x:c>
      <x:c r="L11" s="82" t="str">
        <x:v>Horquilla telescópica</x:v>
      </x:c>
      <x:c r="M11" s="82" t="str">
        <x:v>Monoshock Nitrox</x:v>
      </x:c>
      <x:c r="N11" s="82" t="str">
        <x:v>90/90-17 / 120/80-17</x:v>
      </x:c>
      <x:c r="O11" s="82" t="str">
        <x:v>12 L</x:v>
      </x:c>
      <x:c r="P11" s="82" t="str">
        <x:v>148 kg</x:v>
      </x:c>
      <x:c r="Q11" s="82" t="str">
        <x:v>Digital/Análogo según año</x:v>
      </x:c>
      <x:c r="R11" s="82" t="str">
        <x:v>≈35 km/L</x:v>
      </x:c>
      <x:c r="S11" s="90" t="str">
        <x:v>APROBADA</x:v>
      </x:c>
      <x:c r="T11" s="82" t="str">
        <x:v>Las fotos corresponden a la línea NS160; verificar gráfico/colores del año comercial.</x:v>
      </x:c>
      <x:c r="U11" s="82" t="str">
        <x:v>https://www.galgo.com/mx/motos/MX3262-bajaj-pulsar-ns-160</x:v>
      </x:c>
      <x:c r="V11" s="82" t="str">
        <x:v>https://www.galgo.com/mx/motos/MX3262-bajaj-pulsar-ns-160</x:v>
      </x:c>
    </x:row>
    <x:row r="12" ht="72" customHeight="1">
      <x:c r="A12" s="86" t="n">
        <x:v>11</x:v>
      </x:c>
      <x:c r="B12" s="86" t="str">
        <x:v>Bajaj</x:v>
      </x:c>
      <x:c r="C12" s="86" t="str">
        <x:v>Pulsar N 160 FI + ABS UG</x:v>
      </x:c>
      <x:c r="D12" s="86" t="str">
        <x:v>Pulsar N</x:v>
      </x:c>
      <x:c r="E12" s="86" t="str">
        <x:v>164.82 cc</x:v>
      </x:c>
      <x:c r="F12" s="86" t="str">
        <x:v>15.7 HP</x:v>
      </x:c>
      <x:c r="G12" s="86" t="str">
        <x:v>14.6 Nm</x:v>
      </x:c>
      <x:c r="H12" s="86" t="str">
        <x:v>Inyección electrónica</x:v>
      </x:c>
      <x:c r="I12" s="86" t="str">
        <x:v>Aire</x:v>
      </x:c>
      <x:c r="J12" s="86" t="str">
        <x:v>5 velocidades</x:v>
      </x:c>
      <x:c r="K12" s="86" t="str">
        <x:v>Disco ABS delantero / disco ABS trasero</x:v>
      </x:c>
      <x:c r="L12" s="86" t="str">
        <x:v>Telescópica</x:v>
      </x:c>
      <x:c r="M12" s="86" t="str">
        <x:v>Monoshock</x:v>
      </x:c>
      <x:c r="N12" s="86" t="str">
        <x:v>100/80-17 / 130/70-17</x:v>
      </x:c>
      <x:c r="O12" s="86" t="str">
        <x:v>14 L</x:v>
      </x:c>
      <x:c r="P12" s="86" t="str">
        <x:v>≈154 kg</x:v>
      </x:c>
      <x:c r="Q12" s="86" t="str">
        <x:v>Digital</x:v>
      </x:c>
      <x:c r="R12" s="86" t="str">
        <x:v>≈35 km/L</x:v>
      </x:c>
      <x:c r="S12" s="90" t="str">
        <x:v>APROBADA</x:v>
      </x:c>
      <x:c r="T12" s="86" t="str">
        <x:v>UG con FI + ABS. Las fotos de detalle permiten diferenciarla de la N160 carburada.</x:v>
      </x:c>
      <x:c r="U12" s="86" t="str">
        <x:v>https://www.motosbajaj.com.mx/product-page/pulsar-n-160-fi-abs-ug</x:v>
      </x:c>
      <x:c r="V12" s="86" t="str">
        <x:v>https://www.galgo.com/mx/motos/MX2936-bajaj-pulsar-n160-fi-abs-ug</x:v>
      </x:c>
    </x:row>
    <x:row r="13" ht="72" customHeight="1">
      <x:c r="A13" s="82" t="n">
        <x:v>12</x:v>
      </x:c>
      <x:c r="B13" s="82" t="str">
        <x:v>Bajaj</x:v>
      </x:c>
      <x:c r="C13" s="82" t="str">
        <x:v>Pulsar N 160 FI + ABS Premium</x:v>
      </x:c>
      <x:c r="D13" s="82" t="str">
        <x:v>Pulsar N</x:v>
      </x:c>
      <x:c r="E13" s="82" t="str">
        <x:v>164.82 cc</x:v>
      </x:c>
      <x:c r="F13" s="82" t="str">
        <x:v>15.7 HP</x:v>
      </x:c>
      <x:c r="G13" s="82" t="str">
        <x:v>14.6 Nm</x:v>
      </x:c>
      <x:c r="H13" s="82" t="str">
        <x:v>Inyección electrónica</x:v>
      </x:c>
      <x:c r="I13" s="82" t="str">
        <x:v>Aire</x:v>
      </x:c>
      <x:c r="J13" s="82" t="str">
        <x:v>5 velocidades</x:v>
      </x:c>
      <x:c r="K13" s="82" t="str">
        <x:v>Disco ABS delantero / disco ABS trasero</x:v>
      </x:c>
      <x:c r="L13" s="82" t="str">
        <x:v>Telescópica invertida</x:v>
      </x:c>
      <x:c r="M13" s="82" t="str">
        <x:v>Monoshock</x:v>
      </x:c>
      <x:c r="N13" s="82" t="str">
        <x:v>100/80-17 / 130/70-17</x:v>
      </x:c>
      <x:c r="O13" s="82" t="str">
        <x:v>14 L</x:v>
      </x:c>
      <x:c r="P13" s="82" t="str">
        <x:v>154 kg</x:v>
      </x:c>
      <x:c r="Q13" s="82" t="str">
        <x:v>Digital</x:v>
      </x:c>
      <x:c r="R13" s="82" t="str">
        <x:v>≈40 km/L</x:v>
      </x:c>
      <x:c r="S13" s="90" t="str">
        <x:v>APROBADA</x:v>
      </x:c>
      <x:c r="T13" s="82" t="str">
        <x:v>Premium: identificar por barras invertidas y diseño frontal actualizado. Una imagen se sirve a 500 px desde la fuente.</x:v>
      </x:c>
      <x:c r="U13" s="82" t="str">
        <x:v>https://www.motosbajaj.com.mx/product-page/pulsar-n-160-fi-abs-premium</x:v>
      </x:c>
      <x:c r="V13" s="82" t="str">
        <x:v>https://www.galgo.com/mx/motos/MX3313-bajaj-pulsar-n-160-fi-abs-premium</x:v>
      </x:c>
    </x:row>
    <x:row r="14" ht="72" customHeight="1">
      <x:c r="A14" s="86" t="n">
        <x:v>13</x:v>
      </x:c>
      <x:c r="B14" s="86" t="str">
        <x:v>Bajaj</x:v>
      </x:c>
      <x:c r="C14" s="86" t="str">
        <x:v>Pulsar NS 200</x:v>
      </x:c>
      <x:c r="D14" s="86" t="str">
        <x:v>Pulsar NS</x:v>
      </x:c>
      <x:c r="E14" s="86" t="str">
        <x:v>199.5–200 cc</x:v>
      </x:c>
      <x:c r="F14" s="86" t="str">
        <x:v>24.5 HP</x:v>
      </x:c>
      <x:c r="G14" s="86" t="str">
        <x:v>18.6 Nm</x:v>
      </x:c>
      <x:c r="H14" s="86" t="str">
        <x:v>Carburador / confirmar año</x:v>
      </x:c>
      <x:c r="I14" s="86" t="str">
        <x:v>Líquido</x:v>
      </x:c>
      <x:c r="J14" s="86" t="str">
        <x:v>6 velocidades</x:v>
      </x:c>
      <x:c r="K14" s="86" t="str">
        <x:v>Disco delantero / disco trasero</x:v>
      </x:c>
      <x:c r="L14" s="86" t="str">
        <x:v>Telescópica</x:v>
      </x:c>
      <x:c r="M14" s="86" t="str">
        <x:v>Monoshock Nitrox</x:v>
      </x:c>
      <x:c r="N14" s="86" t="str">
        <x:v>100/80-17 / 130/70-17</x:v>
      </x:c>
      <x:c r="O14" s="86" t="str">
        <x:v>12 L</x:v>
      </x:c>
      <x:c r="P14" s="86" t="str">
        <x:v>≈158 kg</x:v>
      </x:c>
      <x:c r="Q14" s="86" t="str">
        <x:v>Digital/Análogo</x:v>
      </x:c>
      <x:c r="R14" s="86" t="str">
        <x:v>≈35 km/L</x:v>
      </x:c>
      <x:c r="S14" s="90" t="str">
        <x:v>APROBADA</x:v>
      </x:c>
      <x:c r="T14" s="86" t="str">
        <x:v>Versión sin la denominación FI ABS. No usar imágenes que muestren emblemas ABS si el inventario es base.</x:v>
      </x:c>
      <x:c r="U14" s="86" t="str">
        <x:v>https://www.galgo.com/mx/motos/MX1172-bajaj-pulsar-ns-200-2023</x:v>
      </x:c>
      <x:c r="V14" s="86" t="str">
        <x:v>https://www.galgo.com/mx/motos/MX1172-bajaj-pulsar-ns-200-2023</x:v>
      </x:c>
    </x:row>
    <x:row r="15" ht="72" customHeight="1">
      <x:c r="A15" s="82" t="n">
        <x:v>14</x:v>
      </x:c>
      <x:c r="B15" s="82" t="str">
        <x:v>Bajaj</x:v>
      </x:c>
      <x:c r="C15" s="82" t="str">
        <x:v>Pulsar NS 200 FI ABS</x:v>
      </x:c>
      <x:c r="D15" s="82" t="str">
        <x:v>Pulsar NS</x:v>
      </x:c>
      <x:c r="E15" s="82" t="str">
        <x:v>199.5–200 cc</x:v>
      </x:c>
      <x:c r="F15" s="82" t="str">
        <x:v>24.5 HP</x:v>
      </x:c>
      <x:c r="G15" s="82" t="str">
        <x:v>18.74 Nm</x:v>
      </x:c>
      <x:c r="H15" s="82" t="str">
        <x:v>Inyección electrónica</x:v>
      </x:c>
      <x:c r="I15" s="82" t="str">
        <x:v>Líquido</x:v>
      </x:c>
      <x:c r="J15" s="82" t="str">
        <x:v>6 velocidades</x:v>
      </x:c>
      <x:c r="K15" s="82" t="str">
        <x:v>Disco ABS delantero / disco ABS trasero</x:v>
      </x:c>
      <x:c r="L15" s="82" t="str">
        <x:v>Invertida</x:v>
      </x:c>
      <x:c r="M15" s="82" t="str">
        <x:v>Monoshock Nitrox</x:v>
      </x:c>
      <x:c r="N15" s="82" t="str">
        <x:v>100/80-17 / 130/70-17</x:v>
      </x:c>
      <x:c r="O15" s="82" t="str">
        <x:v>12 L</x:v>
      </x:c>
      <x:c r="P15" s="82" t="str">
        <x:v>≈158 kg</x:v>
      </x:c>
      <x:c r="Q15" s="82" t="str">
        <x:v>Digital</x:v>
      </x:c>
      <x:c r="R15" s="82" t="str">
        <x:v>≈35 km/L</x:v>
      </x:c>
      <x:c r="S15" s="90" t="str">
        <x:v>APROBADA</x:v>
      </x:c>
      <x:c r="T15" s="82" t="str">
        <x:v>FI ABS: confirmar sensor/aro ABS y calcomanías de la versión al publicar.</x:v>
      </x:c>
      <x:c r="U15" s="82" t="str">
        <x:v>https://www.galgo.com/mx/motos/MX245-bajaj-pulsar-200-ns-fi-abs</x:v>
      </x:c>
      <x:c r="V15" s="82" t="str">
        <x:v>https://www.galgo.com/mx/motos/MX245-bajaj-pulsar-200-ns-fi-abs</x:v>
      </x:c>
    </x:row>
    <x:row r="16" ht="72" customHeight="1">
      <x:c r="A16" s="86" t="n">
        <x:v>15</x:v>
      </x:c>
      <x:c r="B16" s="86" t="str">
        <x:v>Bajaj</x:v>
      </x:c>
      <x:c r="C16" s="86" t="str">
        <x:v>Pulsar N 250</x:v>
      </x:c>
      <x:c r="D16" s="86" t="str">
        <x:v>Pulsar N</x:v>
      </x:c>
      <x:c r="E16" s="86" t="str">
        <x:v>249–250 cc</x:v>
      </x:c>
      <x:c r="F16" s="86" t="str">
        <x:v>24 HP</x:v>
      </x:c>
      <x:c r="G16" s="86" t="str">
        <x:v>21 Nm</x:v>
      </x:c>
      <x:c r="H16" s="86" t="str">
        <x:v>Carburador</x:v>
      </x:c>
      <x:c r="I16" s="86" t="str">
        <x:v>Aceite</x:v>
      </x:c>
      <x:c r="J16" s="86" t="str">
        <x:v>5 velocidades</x:v>
      </x:c>
      <x:c r="K16" s="86" t="str">
        <x:v>Disco delantero / disco trasero</x:v>
      </x:c>
      <x:c r="L16" s="86" t="str">
        <x:v>Telescópica</x:v>
      </x:c>
      <x:c r="M16" s="86" t="str">
        <x:v>Monoshock ajustable</x:v>
      </x:c>
      <x:c r="N16" s="86" t="str">
        <x:v>110/80-17 / 140/70-17</x:v>
      </x:c>
      <x:c r="O16" s="86" t="str">
        <x:v>14 L</x:v>
      </x:c>
      <x:c r="P16" s="86" t="str">
        <x:v>≈162 kg</x:v>
      </x:c>
      <x:c r="Q16" s="86" t="str">
        <x:v>Digital</x:v>
      </x:c>
      <x:c r="R16" s="86" t="str">
        <x:v>≈35 km/L</x:v>
      </x:c>
      <x:c r="S16" s="90" t="str">
        <x:v>APROBADA</x:v>
      </x:c>
      <x:c r="T16" s="86" t="str">
        <x:v>Versión carburada. Las fotos muestran distintos colores oficiales de la misma carrocería N250.</x:v>
      </x:c>
      <x:c r="U16" s="86" t="str">
        <x:v>https://www.galgo.com/mx/motos/MX329-bajaj-pulsar-n-250</x:v>
      </x:c>
      <x:c r="V16" s="86" t="str">
        <x:v>https://www.galgo.com/mx/motos/MX329-bajaj-pulsar-n-250</x:v>
      </x:c>
    </x:row>
    <x:row r="17" ht="72" customHeight="1">
      <x:c r="A17" s="82" t="n">
        <x:v>16</x:v>
      </x:c>
      <x:c r="B17" s="82" t="str">
        <x:v>Bajaj</x:v>
      </x:c>
      <x:c r="C17" s="82" t="str">
        <x:v>Pulsar N 250 FI + ABS</x:v>
      </x:c>
      <x:c r="D17" s="82" t="str">
        <x:v>Pulsar N</x:v>
      </x:c>
      <x:c r="E17" s="82" t="str">
        <x:v>249.07 cc</x:v>
      </x:c>
      <x:c r="F17" s="82" t="str">
        <x:v>24 HP</x:v>
      </x:c>
      <x:c r="G17" s="82" t="str">
        <x:v>21.5 Nm</x:v>
      </x:c>
      <x:c r="H17" s="82" t="str">
        <x:v>Inyección electrónica</x:v>
      </x:c>
      <x:c r="I17" s="82" t="str">
        <x:v>Aceite</x:v>
      </x:c>
      <x:c r="J17" s="82" t="str">
        <x:v>5 velocidades</x:v>
      </x:c>
      <x:c r="K17" s="82" t="str">
        <x:v>Disco ABS delantero / disco ABS trasero</x:v>
      </x:c>
      <x:c r="L17" s="82" t="str">
        <x:v>Telescópica</x:v>
      </x:c>
      <x:c r="M17" s="82" t="str">
        <x:v>Monoshock Nitrox</x:v>
      </x:c>
      <x:c r="N17" s="82" t="str">
        <x:v>100/80-17 / 130/70-17</x:v>
      </x:c>
      <x:c r="O17" s="82" t="str">
        <x:v>14 L</x:v>
      </x:c>
      <x:c r="P17" s="82" t="str">
        <x:v>≈162 kg</x:v>
      </x:c>
      <x:c r="Q17" s="82" t="str">
        <x:v>Digital</x:v>
      </x:c>
      <x:c r="R17" s="82" t="str">
        <x:v>≈30–35 km/L</x:v>
      </x:c>
      <x:c r="S17" s="90" t="str">
        <x:v>APROBADA</x:v>
      </x:c>
      <x:c r="T17" s="82" t="str">
        <x:v>FI + ABS. Verificar distintivo ABS y año, pues algunos ángulos se parecen mucho a la N250 carburada.</x:v>
      </x:c>
      <x:c r="U17" s="82" t="str">
        <x:v>https://www.galgo.com/mx/motos/MX2450-bajaj-n-250-fi-abs</x:v>
      </x:c>
      <x:c r="V17" s="82" t="str">
        <x:v>https://www.galgo.com/mx/motos/MX2450-bajaj-n-250-fi-abs</x:v>
      </x:c>
    </x:row>
    <x:row r="18" ht="72" customHeight="1">
      <x:c r="A18" s="86" t="n">
        <x:v>17</x:v>
      </x:c>
      <x:c r="B18" s="86" t="str">
        <x:v>Bajaj</x:v>
      </x:c>
      <x:c r="C18" s="86" t="str">
        <x:v>Pulsar F 250</x:v>
      </x:c>
      <x:c r="D18" s="86" t="str">
        <x:v>Pulsar F</x:v>
      </x:c>
      <x:c r="E18" s="86" t="str">
        <x:v>249.07 cc</x:v>
      </x:c>
      <x:c r="F18" s="86" t="str">
        <x:v>24.5 HP</x:v>
      </x:c>
      <x:c r="G18" s="86" t="str">
        <x:v>≈21.5 Nm</x:v>
      </x:c>
      <x:c r="H18" s="86" t="str">
        <x:v>Inyección electrónica</x:v>
      </x:c>
      <x:c r="I18" s="86" t="str">
        <x:v>Aceite</x:v>
      </x:c>
      <x:c r="J18" s="86" t="str">
        <x:v>5 velocidades</x:v>
      </x:c>
      <x:c r="K18" s="86" t="str">
        <x:v>ABS delantero / disco trasero</x:v>
      </x:c>
      <x:c r="L18" s="86" t="str">
        <x:v>Telescópica con buje antifricción</x:v>
      </x:c>
      <x:c r="M18" s="86" t="str">
        <x:v>Monoshock Nitrox</x:v>
      </x:c>
      <x:c r="N18" s="86" t="str">
        <x:v>100/80-17 / 130/70-17</x:v>
      </x:c>
      <x:c r="O18" s="86" t="str">
        <x:v>13–14 L</x:v>
      </x:c>
      <x:c r="P18" s="86" t="str">
        <x:v>164 kg</x:v>
      </x:c>
      <x:c r="Q18" s="86" t="str">
        <x:v>Digital</x:v>
      </x:c>
      <x:c r="R18" s="86" t="str">
        <x:v>≈35 km/L</x:v>
      </x:c>
      <x:c r="S18" s="98" t="str">
        <x:v>APROBADA CON CORRECCIÓN</x:v>
      </x:c>
      <x:c r="T18" s="86" t="str">
        <x:v>La página comercial muestra erróneamente 200 cc/18.6 Nm en algunos campos; la F250 corresponde a la plataforma 249 cc.</x:v>
      </x:c>
      <x:c r="U18" s="86" t="str">
        <x:v>https://www.galgo.com/mx/motos/MX3265-bajaj-pulsar-f250</x:v>
      </x:c>
      <x:c r="V18" s="86" t="str">
        <x:v>https://www.galgo.com/mx/motos/MX3265-bajaj-pulsar-f250</x:v>
      </x:c>
    </x:row>
    <x:row r="19" ht="72" customHeight="1">
      <x:c r="A19" s="82" t="n">
        <x:v>18</x:v>
      </x:c>
      <x:c r="B19" s="82" t="str">
        <x:v>Bajaj</x:v>
      </x:c>
      <x:c r="C19" s="82" t="str">
        <x:v>Pulsar NS 400 Z</x:v>
      </x:c>
      <x:c r="D19" s="82" t="str">
        <x:v>Pulsar NS</x:v>
      </x:c>
      <x:c r="E19" s="82" t="str">
        <x:v>373.27 cc</x:v>
      </x:c>
      <x:c r="F19" s="82" t="str">
        <x:v>39.45–40 HP</x:v>
      </x:c>
      <x:c r="G19" s="82" t="str">
        <x:v>35 Nm</x:v>
      </x:c>
      <x:c r="H19" s="82" t="str">
        <x:v>Inyección electrónica</x:v>
      </x:c>
      <x:c r="I19" s="82" t="str">
        <x:v>Líquido</x:v>
      </x:c>
      <x:c r="J19" s="82" t="str">
        <x:v>6 velocidades</x:v>
      </x:c>
      <x:c r="K19" s="82" t="str">
        <x:v>Disco ABS doble canal / disco ABS</x:v>
      </x:c>
      <x:c r="L19" s="82" t="str">
        <x:v>USD 43 mm</x:v>
      </x:c>
      <x:c r="M19" s="82" t="str">
        <x:v>Monoshock Nitrox ajustable</x:v>
      </x:c>
      <x:c r="N19" s="82" t="str">
        <x:v>110/70-17 / 140/70-17</x:v>
      </x:c>
      <x:c r="O19" s="82" t="str">
        <x:v>12–13 L</x:v>
      </x:c>
      <x:c r="P19" s="82" t="str">
        <x:v>≈174 kg</x:v>
      </x:c>
      <x:c r="Q19" s="82" t="str">
        <x:v>Digital con conectividad</x:v>
      </x:c>
      <x:c r="R19" s="82" t="str">
        <x:v>≈30 km/L</x:v>
      </x:c>
      <x:c r="S19" s="90" t="str">
        <x:v>APROBADA</x:v>
      </x:c>
      <x:c r="T19" s="82" t="str">
        <x:v>NS400Z estándar. La fuente la muestra con cuatro modos de manejo y conectividad Bluetooth.</x:v>
      </x:c>
      <x:c r="U19" s="82" t="str">
        <x:v>https://www.motosbajaj.com.mx/product-page/pulsar-ns-400-z</x:v>
      </x:c>
      <x:c r="V19" s="82" t="str">
        <x:v>https://www.galgo.com/mx/motos/MX2889-bajaj-pulsar-ns-400z</x:v>
      </x:c>
    </x:row>
    <x:row r="20" ht="72" customHeight="1">
      <x:c r="A20" s="86" t="n">
        <x:v>19</x:v>
      </x:c>
      <x:c r="B20" s="86" t="str">
        <x:v>Bajaj</x:v>
      </x:c>
      <x:c r="C20" s="86" t="str">
        <x:v>Pulsar NS 400 UG</x:v>
      </x:c>
      <x:c r="D20" s="86" t="str">
        <x:v>Pulsar NS</x:v>
      </x:c>
      <x:c r="E20" s="86" t="str">
        <x:v>373.27 cc</x:v>
      </x:c>
      <x:c r="F20" s="86" t="str">
        <x:v>39.45 HP</x:v>
      </x:c>
      <x:c r="G20" s="86" t="str">
        <x:v>35 Nm</x:v>
      </x:c>
      <x:c r="H20" s="86" t="str">
        <x:v>Inyección electrónica</x:v>
      </x:c>
      <x:c r="I20" s="86" t="str">
        <x:v>Líquido</x:v>
      </x:c>
      <x:c r="J20" s="86" t="str">
        <x:v>6 velocidades</x:v>
      </x:c>
      <x:c r="K20" s="86" t="str">
        <x:v>Disco ABS doble canal / disco ABS</x:v>
      </x:c>
      <x:c r="L20" s="86" t="str">
        <x:v>Barras invertidas</x:v>
      </x:c>
      <x:c r="M20" s="86" t="str">
        <x:v>Monoshock Nitrox</x:v>
      </x:c>
      <x:c r="N20" s="86" t="str">
        <x:v>110/70-17 / 150/60-17</x:v>
      </x:c>
      <x:c r="O20" s="86" t="str">
        <x:v>12 L</x:v>
      </x:c>
      <x:c r="P20" s="86" t="str">
        <x:v>≈174 kg</x:v>
      </x:c>
      <x:c r="Q20" s="86" t="str">
        <x:v>Digital</x:v>
      </x:c>
      <x:c r="R20" s="86" t="str">
        <x:v>≈25–30 km/L</x:v>
      </x:c>
      <x:c r="S20" s="94" t="str">
        <x:v>REVISAR VERSIÓN</x:v>
      </x:c>
      <x:c r="T20" s="86" t="str">
        <x:v>La galería pública del modelo UG reutiliza las mismas imágenes de NS400Z. Confirmar cambios de equipamiento, gráficos y año de la unidad real.</x:v>
      </x:c>
      <x:c r="U20" s="86" t="str">
        <x:v>https://www.galgo.com/mx/motos/MX3566-bajaj-pulsar-ns-400z-ug</x:v>
      </x:c>
      <x:c r="V20" s="86" t="str">
        <x:v>https://www.galgo.com/mx/motos/MX3566-bajaj-pulsar-ns-400z-ug</x:v>
      </x:c>
    </x:row>
    <x:row r="21" ht="72" customHeight="1">
      <x:c r="A21" s="82" t="n">
        <x:v>20</x:v>
      </x:c>
      <x:c r="B21" s="82" t="str">
        <x:v>Bajaj</x:v>
      </x:c>
      <x:c r="C21" s="82" t="str">
        <x:v>Pulsar 200 RS</x:v>
      </x:c>
      <x:c r="D21" s="82" t="str">
        <x:v>Pulsar RS</x:v>
      </x:c>
      <x:c r="E21" s="82" t="str">
        <x:v>199.5–200 cc</x:v>
      </x:c>
      <x:c r="F21" s="82" t="str">
        <x:v>24.14 HP</x:v>
      </x:c>
      <x:c r="G21" s="82" t="str">
        <x:v>18.3 Nm</x:v>
      </x:c>
      <x:c r="H21" s="82" t="str">
        <x:v>Inyección electrónica</x:v>
      </x:c>
      <x:c r="I21" s="82" t="str">
        <x:v>Líquido</x:v>
      </x:c>
      <x:c r="J21" s="82" t="str">
        <x:v>6 velocidades</x:v>
      </x:c>
      <x:c r="K21" s="82" t="str">
        <x:v>Disco ventilado ABS / disco ventilado ABS</x:v>
      </x:c>
      <x:c r="L21" s="82" t="str">
        <x:v>Horquilla telescópica</x:v>
      </x:c>
      <x:c r="M21" s="82" t="str">
        <x:v>Monoshock Nitrox ajustable</x:v>
      </x:c>
      <x:c r="N21" s="82" t="str">
        <x:v>100/80-17 / 130/70-17</x:v>
      </x:c>
      <x:c r="O21" s="82" t="str">
        <x:v>13 L</x:v>
      </x:c>
      <x:c r="P21" s="82" t="str">
        <x:v>≈166 kg</x:v>
      </x:c>
      <x:c r="Q21" s="82" t="str">
        <x:v>Digital/Análogo</x:v>
      </x:c>
      <x:c r="R21" s="82" t="str">
        <x:v>≈35–40 km/L</x:v>
      </x:c>
      <x:c r="S21" s="90" t="str">
        <x:v>APROBADA</x:v>
      </x:c>
      <x:c r="T21" s="82" t="str">
        <x:v>Fotos verificadas de carenado completo RS200, faro, tablero y motor.</x:v>
      </x:c>
      <x:c r="U21" s="82" t="str">
        <x:v>https://www.galgo.com/mx/motos/MX1333-bajaj-pulsar-rs-200</x:v>
      </x:c>
      <x:c r="V21" s="82" t="str">
        <x:v>https://www.galgo.com/mx/motos/MX1333-bajaj-pulsar-rs-200</x:v>
      </x:c>
    </x:row>
    <x:row r="23">
      <x:c r="A23" s="179" t="str">
        <x:v>Fuentes consultadas: páginas oficiales Bajaj México, Motos Bajaj México y fichas exactas de Galgo México. URLs incluidas en cada registro.</x:v>
      </x:c>
      <x:c r="B23" s="179"/>
      <x:c r="C23" s="179"/>
      <x:c r="D23" s="179"/>
      <x:c r="E23" s="179"/>
      <x:c r="F23" s="179"/>
      <x:c r="G23" s="179"/>
      <x:c r="H23" s="179"/>
      <x:c r="I23" s="179"/>
    </x:row>
  </x:sheetData>
  <x:mergeCells>
    <x:mergeCell ref="A23:I23"/>
  </x:mergeCells>
  <x:pageMargins left="0.7" right="0.7" top="0.75" bottom="0.75" header="0.3" footer="0.3"/>
  <x:tableParts count="1">
    <x:tablePart xmlns:r="http://schemas.openxmlformats.org/officeDocument/2006/relationships" r:id="Re22be64bdefa44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23" hidden="0" customWidth="1"/>
  </x:cols>
  <x:sheetData>
    <x:row r="1">
      <x:c r="A1" s="102" t="str">
        <x:v>GALERÍA BAJAJ — 4 FOTOS POR MODELO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3">
      <x:c r="A3" s="108" t="str">
        <x:v>Las imágenes se cargan desde enlaces directos de alta resolución. Requiere Excel 365, Excel para la web o una versión compatible con la función IMAGE. Cada enlace también queda disponible debajo de la fotografía.</x:v>
      </x:c>
      <x:c r="B3" s="108"/>
      <x:c r="C3" s="108"/>
      <x:c r="D3" s="108"/>
      <x:c r="E3" s="108"/>
      <x:c r="F3" s="108"/>
    </x:row>
    <x:row r="4">
      <x:c r="A4" s="108"/>
      <x:c r="B4" s="108"/>
      <x:c r="C4" s="108"/>
      <x:c r="D4" s="108"/>
      <x:c r="E4" s="108"/>
      <x:c r="F4" s="108"/>
    </x:row>
    <x:row r="6" ht="28" customHeight="1">
      <x:c r="A6" s="114" t="str">
        <x:v>01. BAJAJ Avenger Cruise 220</x:v>
      </x:c>
      <x:c r="B6" s="114"/>
      <x:c r="C6" s="114"/>
      <x:c r="D6" s="114"/>
      <x:c r="E6" s="114"/>
      <x:c r="F6" s="114"/>
    </x:row>
    <x:row r="7" ht="165" customHeight="1">
      <x:c r="A7" s="118" t="str">
        <x:v>FOTOS</x:v>
      </x:c>
      <x:c r="B7" s="121" t="e">
        <x:f>IMAGE("https://images.ctfassets.net/8zlbnewncp6f/1lOhw7NHuiwmebq9a9Ihnc/73fc85f769ea62664f50ba64c1b08fb0/Bajaj_Avenger_220_Cruise_Galgo_M_xico.png?fit=pad&amp;fm=webp&amp;h=1200&amp;q=95&amp;w=1600","Avenger Cruise 220 foto 1",0)</x:f>
      </x:c>
      <x:c r="C7" s="121" t="e">
        <x:f>IMAGE("https://images.ctfassets.net/8zlbnewncp6f/2IPNulaWULipBCLHlPmejY/6091d6cece6c43c4e79132b8432b3232/Moto_Bajaj_Avenger_220_Cruise_2022_Galgo_M_xico_1.jpg?fit=pad&amp;fm=webp&amp;h=1200&amp;q=95&amp;w=1600","Avenger Cruise 220 foto 2",0)</x:f>
      </x:c>
      <x:c r="D7" s="121" t="e">
        <x:f>IMAGE("https://images.ctfassets.net/8zlbnewncp6f/5tJLeiKuHRTu2skAPoO0zK/4205034e51ff5d0f8983b3296a5f40e9/Moto_Bajaj_Avenger_220_Cruise_2022_Galgo_M_xico_2.jpg?fit=pad&amp;fm=webp&amp;h=1200&amp;q=95&amp;w=1600","Avenger Cruise 220 foto 3",0)</x:f>
      </x:c>
      <x:c r="E7" s="121" t="e">
        <x:f>IMAGE("https://images.ctfassets.net/8zlbnewncp6f/6GqeegRpoRulElp0KaRRc3/edc2c9778ed426efc0e414c3bf225f98/Moto_Bajaj_Avenger_220_Cruise_2022_Galgo_M_xico_3.jpg?fit=pad&amp;fm=webp&amp;h=1200&amp;q=95&amp;w=1600","Avenger Cruise 220 foto 4",0)</x:f>
      </x:c>
      <x:c r="F7" s="135" t="e">
        <x:f>HYPERLINK("https://www.galgo.com/mx/motos/MX1335-bajaj-avenger-220-cruise","ABRIR FICHA FUENTE")</x:f>
      </x:c>
    </x:row>
    <x:row r="8" ht="38" customHeight="1">
      <x:c r="A8" s="118" t="str">
        <x:v>ENLACES</x:v>
      </x:c>
      <x:c r="B8" s="127" t="e">
        <x:f>HYPERLINK("https://images.ctfassets.net/8zlbnewncp6f/1lOhw7NHuiwmebq9a9Ihnc/73fc85f769ea62664f50ba64c1b08fb0/Bajaj_Avenger_220_Cruise_Galgo_M_xico.png?fit=pad&amp;fm=webp&amp;h=1200&amp;q=95&amp;w=1600","DESCARGAR FOTO 1 EN ALTA")</x:f>
      </x:c>
      <x:c r="C8" s="127" t="e">
        <x:f>HYPERLINK("https://images.ctfassets.net/8zlbnewncp6f/2IPNulaWULipBCLHlPmejY/6091d6cece6c43c4e79132b8432b3232/Moto_Bajaj_Avenger_220_Cruise_2022_Galgo_M_xico_1.jpg?fit=pad&amp;fm=webp&amp;h=1200&amp;q=95&amp;w=1600","DESCARGAR FOTO 2 EN ALTA")</x:f>
      </x:c>
      <x:c r="D8" s="127" t="e">
        <x:f>HYPERLINK("https://images.ctfassets.net/8zlbnewncp6f/5tJLeiKuHRTu2skAPoO0zK/4205034e51ff5d0f8983b3296a5f40e9/Moto_Bajaj_Avenger_220_Cruise_2022_Galgo_M_xico_2.jpg?fit=pad&amp;fm=webp&amp;h=1200&amp;q=95&amp;w=1600","DESCARGAR FOTO 3 EN ALTA")</x:f>
      </x:c>
      <x:c r="E8" s="127" t="e">
        <x:f>HYPERLINK("https://images.ctfassets.net/8zlbnewncp6f/6GqeegRpoRulElp0KaRRc3/edc2c9778ed426efc0e414c3bf225f98/Moto_Bajaj_Avenger_220_Cruise_2022_Galgo_M_xico_3.jpg?fit=pad&amp;fm=webp&amp;h=1200&amp;q=95&amp;w=1600","DESCARGAR FOTO 4 EN ALTA")</x:f>
      </x:c>
      <x:c r="F8" s="142" t="str">
        <x:v>Fuente exacta del modelo</x:v>
      </x:c>
    </x:row>
    <x:row r="9" ht="24" customHeight="1">
      <x:c r="A9" s="20" t="str">
        <x:v>ESTATUS DE REVISIÓN</x:v>
      </x:c>
      <x:c r="B9" s="20"/>
      <x:c r="C9" s="147" t="str">
        <x:v>APROBADA</x:v>
      </x:c>
      <x:c r="D9" s="147"/>
      <x:c r="E9" s="147"/>
      <x:c r="F9" s="147"/>
    </x:row>
    <x:row r="10" ht="32" customHeight="1">
      <x:c r="A10" s="20" t="str">
        <x:v>FUENTE TÉCNICA</x:v>
      </x:c>
      <x:c r="B10" s="20"/>
      <x:c r="C10" s="151" t="e">
        <x:f>HYPERLINK("https://www.bajajauto.com/es-mx/motocicletas/avenger-cruise-220","https://www.bajajauto.com/es-mx/motocicletas/avenger-cruise-220")</x:f>
      </x:c>
      <x:c r="D10" s="151"/>
      <x:c r="E10" s="151"/>
      <x:c r="F10" s="151"/>
    </x:row>
    <x:row r="11" ht="58" customHeight="1">
      <x:c r="A11" s="118" t="str">
        <x:v>NOTA DE CONTROL</x:v>
      </x:c>
      <x:c r="B11" s="118"/>
      <x:c r="C11" s="157" t="str">
        <x:v>Especificaciones principales tomadas de Bajaj México; la capacidad aparece como 13 L en la tabla y 14 L en FAQ oficial.</x:v>
      </x:c>
      <x:c r="D11" s="157"/>
      <x:c r="E11" s="157"/>
      <x:c r="F11" s="157"/>
    </x:row>
    <x:row r="13" ht="28" customHeight="1">
      <x:c r="A13" s="114" t="str">
        <x:v>02. BAJAJ Boxer BM 150</x:v>
      </x:c>
      <x:c r="B13" s="114"/>
      <x:c r="C13" s="114"/>
      <x:c r="D13" s="114"/>
      <x:c r="E13" s="114"/>
      <x:c r="F13" s="114"/>
    </x:row>
    <x:row r="14" ht="165" customHeight="1">
      <x:c r="A14" s="118" t="str">
        <x:v>FOTOS</x:v>
      </x:c>
      <x:c r="B14" s="121" t="e">
        <x:f>IMAGE("https://images.ctfassets.net/8zlbnewncp6f/zlbNnVfDUJiOhVNIu9xAj/6a695756f483b929cf2c49ddea2f7bc5/Bajaj_Boxer_BM_150_Galgo_M__xico_Principal.jpg?fit=pad&amp;fm=webp&amp;h=1200&amp;q=95&amp;w=1600","Boxer BM 150 foto 1",0)</x:f>
      </x:c>
      <x:c r="C14" s="121" t="e">
        <x:f>IMAGE("https://images.ctfassets.net/8zlbnewncp6f/9H1KeWFtBS9VIo9pFBBXV/04f5df150c72c7d6eb09b5f76db7abfd/Bajaj_Boxer_BM_150_Galgo_M__xico_Carrousel_1.jpg?fit=pad&amp;fm=webp&amp;h=1200&amp;q=95&amp;w=1600","Boxer BM 150 foto 2",0)</x:f>
      </x:c>
      <x:c r="D14" s="121" t="e">
        <x:f>IMAGE("https://images.ctfassets.net/8zlbnewncp6f/jKSi7yFs6GQBSWsjlJdJZ/4a73990cc6116e965de83322dc46f320/Bajaj_Boxer_BM_150_Galgo_M__xico_Carrousel_2.jpg?fit=pad&amp;fm=webp&amp;h=1200&amp;q=95&amp;w=1600","Boxer BM 150 foto 3",0)</x:f>
      </x:c>
      <x:c r="E14" s="121" t="e">
        <x:f>IMAGE("https://images.ctfassets.net/8zlbnewncp6f/4yajGSHdNxs0OyAlSijjBt/2b827d5d1fa76383894d69c1081f0cc8/Bajaj_Boxer_BM_150_Galgo_M__xico_Carrousel_3.jpg?fit=pad&amp;fm=webp&amp;h=1200&amp;q=95&amp;w=1600","Boxer BM 150 foto 4",0)</x:f>
      </x:c>
      <x:c r="F14" s="135" t="e">
        <x:f>HYPERLINK("https://www.galgo.com/mx/motos/MX250-bajaj-boxer-bm-150","ABRIR FICHA FUENTE")</x:f>
      </x:c>
    </x:row>
    <x:row r="15" ht="38" customHeight="1">
      <x:c r="A15" s="118" t="str">
        <x:v>ENLACES</x:v>
      </x:c>
      <x:c r="B15" s="127" t="e">
        <x:f>HYPERLINK("https://images.ctfassets.net/8zlbnewncp6f/zlbNnVfDUJiOhVNIu9xAj/6a695756f483b929cf2c49ddea2f7bc5/Bajaj_Boxer_BM_150_Galgo_M__xico_Principal.jpg?fit=pad&amp;fm=webp&amp;h=1200&amp;q=95&amp;w=1600","DESCARGAR FOTO 1 EN ALTA")</x:f>
      </x:c>
      <x:c r="C15" s="127" t="e">
        <x:f>HYPERLINK("https://images.ctfassets.net/8zlbnewncp6f/9H1KeWFtBS9VIo9pFBBXV/04f5df150c72c7d6eb09b5f76db7abfd/Bajaj_Boxer_BM_150_Galgo_M__xico_Carrousel_1.jpg?fit=pad&amp;fm=webp&amp;h=1200&amp;q=95&amp;w=1600","DESCARGAR FOTO 2 EN ALTA")</x:f>
      </x:c>
      <x:c r="D15" s="127" t="e">
        <x:f>HYPERLINK("https://images.ctfassets.net/8zlbnewncp6f/jKSi7yFs6GQBSWsjlJdJZ/4a73990cc6116e965de83322dc46f320/Bajaj_Boxer_BM_150_Galgo_M__xico_Carrousel_2.jpg?fit=pad&amp;fm=webp&amp;h=1200&amp;q=95&amp;w=1600","DESCARGAR FOTO 3 EN ALTA")</x:f>
      </x:c>
      <x:c r="E15" s="127" t="e">
        <x:f>HYPERLINK("https://images.ctfassets.net/8zlbnewncp6f/4yajGSHdNxs0OyAlSijjBt/2b827d5d1fa76383894d69c1081f0cc8/Bajaj_Boxer_BM_150_Galgo_M__xico_Carrousel_3.jpg?fit=pad&amp;fm=webp&amp;h=1200&amp;q=95&amp;w=1600","DESCARGAR FOTO 4 EN ALTA")</x:f>
      </x:c>
      <x:c r="F15" s="142" t="str">
        <x:v>Fuente exacta del modelo</x:v>
      </x:c>
    </x:row>
    <x:row r="16" ht="24" customHeight="1">
      <x:c r="A16" s="20" t="str">
        <x:v>ESTATUS DE REVISIÓN</x:v>
      </x:c>
      <x:c r="B16" s="20"/>
      <x:c r="C16" s="147" t="str">
        <x:v>APROBADA</x:v>
      </x:c>
      <x:c r="D16" s="147"/>
      <x:c r="E16" s="147"/>
      <x:c r="F16" s="147"/>
    </x:row>
    <x:row r="17" ht="32" customHeight="1">
      <x:c r="A17" s="20" t="str">
        <x:v>FUENTE TÉCNICA</x:v>
      </x:c>
      <x:c r="B17" s="20"/>
      <x:c r="C17" s="151" t="e">
        <x:f>HYPERLINK("https://www.galgo.com/mx/motos/MX250-bajaj-boxer-bm-150","https://www.galgo.com/mx/motos/MX250-bajaj-boxer-bm-150")</x:f>
      </x:c>
      <x:c r="D17" s="151"/>
      <x:c r="E17" s="151"/>
      <x:c r="F17" s="151"/>
    </x:row>
    <x:row r="18" ht="58" customHeight="1">
      <x:c r="A18" s="118" t="str">
        <x:v>NOTA DE CONTROL</x:v>
      </x:c>
      <x:c r="B18" s="118"/>
      <x:c r="C18" s="157" t="str">
        <x:v>Modelo utilitario. El peso de algunas fichas comerciales es inconsistente; se usa el valor típico de la configuración BM150.</x:v>
      </x:c>
      <x:c r="D18" s="157"/>
      <x:c r="E18" s="157"/>
      <x:c r="F18" s="157"/>
    </x:row>
    <x:row r="20" ht="28" customHeight="1">
      <x:c r="A20" s="114" t="str">
        <x:v>03. BAJAJ Dominar 250 UG</x:v>
      </x:c>
      <x:c r="B20" s="114"/>
      <x:c r="C20" s="114"/>
      <x:c r="D20" s="114"/>
      <x:c r="E20" s="114"/>
      <x:c r="F20" s="114"/>
    </x:row>
    <x:row r="21" ht="165" customHeight="1">
      <x:c r="A21" s="118" t="str">
        <x:v>FOTOS</x:v>
      </x:c>
      <x:c r="B21" s="121" t="e">
        <x:f>IMAGE("https://images.ctfassets.net/8zlbnewncp6f/CJZUg0WwHaLOwxWZaO8Sq/72f7a205209ae049682b3d2e42b7aae8/00.jpg?fit=pad&amp;fm=webp&amp;h=1200&amp;q=95&amp;w=1600","Dominar 250 UG foto 1",0)</x:f>
      </x:c>
      <x:c r="C21" s="121" t="e">
        <x:f>IMAGE("https://images.ctfassets.net/8zlbnewncp6f/2WKRzsqXZd3IbSzEYFqPeY/76265649e1991f82d2ebaa46776b923c/Bajaj_Dominar_250_-_Amarillo_Galgo.png?fit=pad&amp;fm=webp&amp;h=1200&amp;q=95&amp;w=1600","Dominar 250 UG foto 2",0)</x:f>
      </x:c>
      <x:c r="D21" s="121" t="e">
        <x:f>IMAGE("https://images.ctfassets.net/8zlbnewncp6f/2EsyPJaVSov6OAcOz6Xhkx/f85367802cc1d1140b70d9073b3e2010/Bajaj_Dominar_250_-_Rojo_Galgo.png?fit=pad&amp;fm=webp&amp;h=1200&amp;q=95&amp;w=1600","Dominar 250 UG foto 3",0)</x:f>
      </x:c>
      <x:c r="E21" s="121" t="e">
        <x:f>IMAGE("https://images.ctfassets.net/8zlbnewncp6f/4JHIkUTdHIPwQNkOdM2T5h/025b139967633d735167b01bc7ab694a/Bajaj_Dominar_250_-_Negra_Galgo.png?fit=pad&amp;fm=webp&amp;h=1200&amp;q=95&amp;w=1600","Dominar 250 UG foto 4",0)</x:f>
      </x:c>
      <x:c r="F21" s="135" t="e">
        <x:f>HYPERLINK("https://www.galgo.com/mx/motos/MX246-bajaj-dominar-250-ug","ABRIR FICHA FUENTE")</x:f>
      </x:c>
    </x:row>
    <x:row r="22" ht="38" customHeight="1">
      <x:c r="A22" s="118" t="str">
        <x:v>ENLACES</x:v>
      </x:c>
      <x:c r="B22" s="127" t="e">
        <x:f>HYPERLINK("https://images.ctfassets.net/8zlbnewncp6f/CJZUg0WwHaLOwxWZaO8Sq/72f7a205209ae049682b3d2e42b7aae8/00.jpg?fit=pad&amp;fm=webp&amp;h=1200&amp;q=95&amp;w=1600","DESCARGAR FOTO 1 EN ALTA")</x:f>
      </x:c>
      <x:c r="C22" s="127" t="e">
        <x:f>HYPERLINK("https://images.ctfassets.net/8zlbnewncp6f/2WKRzsqXZd3IbSzEYFqPeY/76265649e1991f82d2ebaa46776b923c/Bajaj_Dominar_250_-_Amarillo_Galgo.png?fit=pad&amp;fm=webp&amp;h=1200&amp;q=95&amp;w=1600","DESCARGAR FOTO 2 EN ALTA")</x:f>
      </x:c>
      <x:c r="D22" s="127" t="e">
        <x:f>HYPERLINK("https://images.ctfassets.net/8zlbnewncp6f/2EsyPJaVSov6OAcOz6Xhkx/f85367802cc1d1140b70d9073b3e2010/Bajaj_Dominar_250_-_Rojo_Galgo.png?fit=pad&amp;fm=webp&amp;h=1200&amp;q=95&amp;w=1600","DESCARGAR FOTO 3 EN ALTA")</x:f>
      </x:c>
      <x:c r="E22" s="127" t="e">
        <x:f>HYPERLINK("https://images.ctfassets.net/8zlbnewncp6f/4JHIkUTdHIPwQNkOdM2T5h/025b139967633d735167b01bc7ab694a/Bajaj_Dominar_250_-_Negra_Galgo.png?fit=pad&amp;fm=webp&amp;h=1200&amp;q=95&amp;w=1600","DESCARGAR FOTO 4 EN ALTA")</x:f>
      </x:c>
      <x:c r="F22" s="142" t="str">
        <x:v>Fuente exacta del modelo</x:v>
      </x:c>
    </x:row>
    <x:row r="23" ht="24" customHeight="1">
      <x:c r="A23" s="20" t="str">
        <x:v>ESTATUS DE REVISIÓN</x:v>
      </x:c>
      <x:c r="B23" s="20"/>
      <x:c r="C23" s="147" t="str">
        <x:v>APROBADA</x:v>
      </x:c>
      <x:c r="D23" s="147"/>
      <x:c r="E23" s="147"/>
      <x:c r="F23" s="147"/>
    </x:row>
    <x:row r="24" ht="32" customHeight="1">
      <x:c r="A24" s="20" t="str">
        <x:v>FUENTE TÉCNICA</x:v>
      </x:c>
      <x:c r="B24" s="20"/>
      <x:c r="C24" s="151" t="e">
        <x:f>HYPERLINK("https://www.galgo.com/mx/motos/MX246-bajaj-dominar-250-ug","https://www.galgo.com/mx/motos/MX246-bajaj-dominar-250-ug")</x:f>
      </x:c>
      <x:c r="D24" s="151"/>
      <x:c r="E24" s="151"/>
      <x:c r="F24" s="151"/>
    </x:row>
    <x:row r="25" ht="58" customHeight="1">
      <x:c r="A25" s="118" t="str">
        <x:v>NOTA DE CONTROL</x:v>
      </x:c>
      <x:c r="B25" s="118"/>
      <x:c r="C25" s="157" t="str">
        <x:v>UG: versión actualizada. Confirmar color/año disponible antes de publicar inventario.</x:v>
      </x:c>
      <x:c r="D25" s="157"/>
      <x:c r="E25" s="157"/>
      <x:c r="F25" s="157"/>
    </x:row>
    <x:row r="27" ht="28" customHeight="1">
      <x:c r="A27" s="114" t="str">
        <x:v>04. BAJAJ Dominar 400 TE</x:v>
      </x:c>
      <x:c r="B27" s="114"/>
      <x:c r="C27" s="114"/>
      <x:c r="D27" s="114"/>
      <x:c r="E27" s="114"/>
      <x:c r="F27" s="114"/>
    </x:row>
    <x:row r="28" ht="165" customHeight="1">
      <x:c r="A28" s="118" t="str">
        <x:v>FOTOS</x:v>
      </x:c>
      <x:c r="B28" s="121" t="e">
        <x:f>IMAGE("https://images.ctfassets.net/8zlbnewncp6f/3POa28ljuzZgmj1axnWi80/98b45f10825a4e1cd8806c223739801c/Bajaj_Dominar_400_UG_Galgo_M%C3%A9xico.png?fit=pad&amp;fm=webp&amp;h=1200&amp;q=95&amp;w=1600","Dominar 400 TE foto 1",0)</x:f>
      </x:c>
      <x:c r="C28" s="121" t="e">
        <x:f>IMAGE("https://images.ctfassets.net/8zlbnewncp6f/1Z11KMY2wxerJJYHMTjYuO/3619985923d2d1c20b3681730a798e60/Dominar_400_Galgo_Mexico_Carrousel_1.jpg?fit=pad&amp;fm=webp&amp;h=1200&amp;q=95&amp;w=1600","Dominar 400 TE foto 2",0)</x:f>
      </x:c>
      <x:c r="D28" s="121" t="e">
        <x:f>IMAGE("https://images.ctfassets.net/8zlbnewncp6f/7KkTVIiEm0cqNuNkTIjABh/6fc2eb9bfbbe9fdce67839576fb3da98/Dominar_400_Galgo_Mexico_Carrousel_2.jpg?fit=pad&amp;fm=webp&amp;h=1200&amp;q=95&amp;w=1600","Dominar 400 TE foto 3",0)</x:f>
      </x:c>
      <x:c r="E28" s="121" t="e">
        <x:f>IMAGE("https://images.ctfassets.net/8zlbnewncp6f/4Vx15tnnaTjDTM6bMGCKE3/d484a814acaf44459060e7eeacf3a1f0/Bajaj_Dominar_400_Touring_001.jpg?fit=pad&amp;fm=webp&amp;h=1200&amp;q=95&amp;w=1600","Dominar 400 TE foto 4",0)</x:f>
      </x:c>
      <x:c r="F28" s="135" t="e">
        <x:f>HYPERLINK("https://www.galgo.com/mx/motos/MX253-bajaj-dominar-400-te","ABRIR FICHA FUENTE")</x:f>
      </x:c>
    </x:row>
    <x:row r="29" ht="38" customHeight="1">
      <x:c r="A29" s="118" t="str">
        <x:v>ENLACES</x:v>
      </x:c>
      <x:c r="B29" s="127" t="e">
        <x:f>HYPERLINK("https://images.ctfassets.net/8zlbnewncp6f/3POa28ljuzZgmj1axnWi80/98b45f10825a4e1cd8806c223739801c/Bajaj_Dominar_400_UG_Galgo_M%C3%A9xico.png?fit=pad&amp;fm=webp&amp;h=1200&amp;q=95&amp;w=1600","DESCARGAR FOTO 1 EN ALTA")</x:f>
      </x:c>
      <x:c r="C29" s="127" t="e">
        <x:f>HYPERLINK("https://images.ctfassets.net/8zlbnewncp6f/1Z11KMY2wxerJJYHMTjYuO/3619985923d2d1c20b3681730a798e60/Dominar_400_Galgo_Mexico_Carrousel_1.jpg?fit=pad&amp;fm=webp&amp;h=1200&amp;q=95&amp;w=1600","DESCARGAR FOTO 2 EN ALTA")</x:f>
      </x:c>
      <x:c r="D29" s="127" t="e">
        <x:f>HYPERLINK("https://images.ctfassets.net/8zlbnewncp6f/7KkTVIiEm0cqNuNkTIjABh/6fc2eb9bfbbe9fdce67839576fb3da98/Dominar_400_Galgo_Mexico_Carrousel_2.jpg?fit=pad&amp;fm=webp&amp;h=1200&amp;q=95&amp;w=1600","DESCARGAR FOTO 3 EN ALTA")</x:f>
      </x:c>
      <x:c r="E29" s="127" t="e">
        <x:f>HYPERLINK("https://images.ctfassets.net/8zlbnewncp6f/4Vx15tnnaTjDTM6bMGCKE3/d484a814acaf44459060e7eeacf3a1f0/Bajaj_Dominar_400_Touring_001.jpg?fit=pad&amp;fm=webp&amp;h=1200&amp;q=95&amp;w=1600","DESCARGAR FOTO 4 EN ALTA")</x:f>
      </x:c>
      <x:c r="F29" s="142" t="str">
        <x:v>Fuente exacta del modelo</x:v>
      </x:c>
    </x:row>
    <x:row r="30" ht="24" customHeight="1">
      <x:c r="A30" s="20" t="str">
        <x:v>ESTATUS DE REVISIÓN</x:v>
      </x:c>
      <x:c r="B30" s="20"/>
      <x:c r="C30" s="163" t="str">
        <x:v>REVISAR VERSIÓN</x:v>
      </x:c>
      <x:c r="D30" s="163"/>
      <x:c r="E30" s="163"/>
      <x:c r="F30" s="163"/>
    </x:row>
    <x:row r="31" ht="32" customHeight="1">
      <x:c r="A31" s="20" t="str">
        <x:v>FUENTE TÉCNICA</x:v>
      </x:c>
      <x:c r="B31" s="20"/>
      <x:c r="C31" s="151" t="e">
        <x:f>HYPERLINK("https://www.galgo.com/mx/motos/MX253-bajaj-dominar-400-te","https://www.galgo.com/mx/motos/MX253-bajaj-dominar-400-te")</x:f>
      </x:c>
      <x:c r="D31" s="151"/>
      <x:c r="E31" s="151"/>
      <x:c r="F31" s="151"/>
    </x:row>
    <x:row r="32" ht="58" customHeight="1">
      <x:c r="A32" s="118" t="str">
        <x:v>NOTA DE CONTROL</x:v>
      </x:c>
      <x:c r="B32" s="118"/>
      <x:c r="C32" s="157" t="str">
        <x:v>TE/Touring Edition: la galería del proveedor mezcla nombres de archivo UG/Touring. Verificar que la unidad incluya parabrisas, defensas, cubrepuños y parrilla/soporte touring.</x:v>
      </x:c>
      <x:c r="D32" s="157"/>
      <x:c r="E32" s="157"/>
      <x:c r="F32" s="157"/>
    </x:row>
    <x:row r="34" ht="28" customHeight="1">
      <x:c r="A34" s="114" t="str">
        <x:v>05. BAJAJ Dominar 400 UG</x:v>
      </x:c>
      <x:c r="B34" s="114"/>
      <x:c r="C34" s="114"/>
      <x:c r="D34" s="114"/>
      <x:c r="E34" s="114"/>
      <x:c r="F34" s="114"/>
    </x:row>
    <x:row r="35" ht="165" customHeight="1">
      <x:c r="A35" s="118" t="str">
        <x:v>FOTOS</x:v>
      </x:c>
      <x:c r="B35" s="121" t="e">
        <x:f>IMAGE("https://images.ctfassets.net/8zlbnewncp6f/7gOgd7IxhELCRVvsDNi4Lh/918f6a7325dc74b0f7b15b82b206ad65/imagen_principal.jpg?fit=pad&amp;fm=webp&amp;h=1200&amp;q=95&amp;w=1600","Dominar 400 UG foto 1",0)</x:f>
      </x:c>
      <x:c r="C35" s="121" t="e">
        <x:f>IMAGE("https://images.ctfassets.net/8zlbnewncp6f/3hwW5s9KVwDe8PL9XZMg9y/557059b7da0854977736f31f1abd5e8c/DOM400-ROJA.jpg?fit=pad&amp;fm=webp&amp;h=1200&amp;q=95&amp;w=1600","Dominar 400 UG foto 2",0)</x:f>
      </x:c>
      <x:c r="D35" s="121" t="e">
        <x:f>IMAGE("https://images.ctfassets.net/8zlbnewncp6f/2bvTgLJZvsFwRUKAitZ46O/3d835fd5134b05f612a94141881aa16f/imagen_principal__79_.png?fit=pad&amp;fm=webp&amp;h=1200&amp;q=95&amp;w=1600","Dominar 400 UG foto 3",0)</x:f>
      </x:c>
      <x:c r="E35" s="121" t="e">
        <x:f>IMAGE("https://images.ctfassets.net/8zlbnewncp6f/4Vx15tnnaTjDTM6bMGCKE3/d484a814acaf44459060e7eeacf3a1f0/Bajaj_Dominar_400_Touring_001.jpg?fit=pad&amp;fm=webp&amp;h=1200&amp;q=95&amp;w=1600","Dominar 400 UG foto 4",0)</x:f>
      </x:c>
      <x:c r="F35" s="135" t="e">
        <x:f>HYPERLINK("https://www.galgo.com/mx/motos/MX247-bajaj-dominar-400-ug","ABRIR FICHA FUENTE")</x:f>
      </x:c>
    </x:row>
    <x:row r="36" ht="38" customHeight="1">
      <x:c r="A36" s="118" t="str">
        <x:v>ENLACES</x:v>
      </x:c>
      <x:c r="B36" s="127" t="e">
        <x:f>HYPERLINK("https://images.ctfassets.net/8zlbnewncp6f/7gOgd7IxhELCRVvsDNi4Lh/918f6a7325dc74b0f7b15b82b206ad65/imagen_principal.jpg?fit=pad&amp;fm=webp&amp;h=1200&amp;q=95&amp;w=1600","DESCARGAR FOTO 1 EN ALTA")</x:f>
      </x:c>
      <x:c r="C36" s="127" t="e">
        <x:f>HYPERLINK("https://images.ctfassets.net/8zlbnewncp6f/3hwW5s9KVwDe8PL9XZMg9y/557059b7da0854977736f31f1abd5e8c/DOM400-ROJA.jpg?fit=pad&amp;fm=webp&amp;h=1200&amp;q=95&amp;w=1600","DESCARGAR FOTO 2 EN ALTA")</x:f>
      </x:c>
      <x:c r="D36" s="127" t="e">
        <x:f>HYPERLINK("https://images.ctfassets.net/8zlbnewncp6f/2bvTgLJZvsFwRUKAitZ46O/3d835fd5134b05f612a94141881aa16f/imagen_principal__79_.png?fit=pad&amp;fm=webp&amp;h=1200&amp;q=95&amp;w=1600","DESCARGAR FOTO 3 EN ALTA")</x:f>
      </x:c>
      <x:c r="E36" s="127" t="e">
        <x:f>HYPERLINK("https://images.ctfassets.net/8zlbnewncp6f/4Vx15tnnaTjDTM6bMGCKE3/d484a814acaf44459060e7eeacf3a1f0/Bajaj_Dominar_400_Touring_001.jpg?fit=pad&amp;fm=webp&amp;h=1200&amp;q=95&amp;w=1600","DESCARGAR FOTO 4 EN ALTA")</x:f>
      </x:c>
      <x:c r="F36" s="142" t="str">
        <x:v>Fuente exacta del modelo</x:v>
      </x:c>
    </x:row>
    <x:row r="37" ht="24" customHeight="1">
      <x:c r="A37" s="20" t="str">
        <x:v>ESTATUS DE REVISIÓN</x:v>
      </x:c>
      <x:c r="B37" s="20"/>
      <x:c r="C37" s="163" t="str">
        <x:v>REVISAR VERSIÓN</x:v>
      </x:c>
      <x:c r="D37" s="163"/>
      <x:c r="E37" s="163"/>
      <x:c r="F37" s="163"/>
    </x:row>
    <x:row r="38" ht="32" customHeight="1">
      <x:c r="A38" s="20" t="str">
        <x:v>FUENTE TÉCNICA</x:v>
      </x:c>
      <x:c r="B38" s="20"/>
      <x:c r="C38" s="151" t="e">
        <x:f>HYPERLINK("https://www.galgo.com/mx/motos/MX247-bajaj-dominar-400-ug","https://www.galgo.com/mx/motos/MX247-bajaj-dominar-400-ug")</x:f>
      </x:c>
      <x:c r="D38" s="151"/>
      <x:c r="E38" s="151"/>
      <x:c r="F38" s="151"/>
    </x:row>
    <x:row r="39" ht="58" customHeight="1">
      <x:c r="A39" s="118" t="str">
        <x:v>NOTA DE CONTROL</x:v>
      </x:c>
      <x:c r="B39" s="118"/>
      <x:c r="C39" s="157" t="str">
        <x:v>La ficha comercial denomina UG pero varias imágenes aparecen etiquetadas Touring. Confirmar accesorios instalados en la unidad real.</x:v>
      </x:c>
      <x:c r="D39" s="157"/>
      <x:c r="E39" s="157"/>
      <x:c r="F39" s="157"/>
    </x:row>
    <x:row r="41" ht="28" customHeight="1">
      <x:c r="A41" s="114" t="str">
        <x:v>06. BAJAJ Pulsar N 125 FI CBS</x:v>
      </x:c>
      <x:c r="B41" s="114"/>
      <x:c r="C41" s="114"/>
      <x:c r="D41" s="114"/>
      <x:c r="E41" s="114"/>
      <x:c r="F41" s="114"/>
    </x:row>
    <x:row r="42" ht="165" customHeight="1">
      <x:c r="A42" s="118" t="str">
        <x:v>FOTOS</x:v>
      </x:c>
      <x:c r="B42" s="121" t="e">
        <x:f>IMAGE("https://images.ctfassets.net/8zlbnewncp6f/3ZFcON0QpmSCc2koYYtuHE/12cc8def0c3a4bbfcb93c3e48d0b98c9/imagen_principal.jpg?fit=pad&amp;fm=webp&amp;h=1200&amp;q=95&amp;w=1600","Pulsar N 125 FI CBS foto 1",0)</x:f>
      </x:c>
      <x:c r="C42" s="121" t="e">
        <x:f>IMAGE("https://images.ctfassets.net/8zlbnewncp6f/7ADntWPWghGAPbHmHVTo3v/7ff44e7598c0d1862bfeb2a816da7ad3/galeria01.jpg?fit=pad&amp;fm=webp&amp;h=1200&amp;q=95&amp;w=1600","Pulsar N 125 FI CBS foto 2",0)</x:f>
      </x:c>
      <x:c r="D42" s="121" t="e">
        <x:f>IMAGE("https://images.ctfassets.net/8zlbnewncp6f/5zEj9HgdFc4ZQsgJWobtzi/3efb1a67e64b7f27e2a37bea2a1e6e95/galeria02.jpg?fit=pad&amp;fm=webp&amp;h=1200&amp;q=95&amp;w=1600","Pulsar N 125 FI CBS foto 3",0)</x:f>
      </x:c>
      <x:c r="E42" s="121" t="e">
        <x:f>IMAGE("https://images.ctfassets.net/8zlbnewncp6f/2Cskvamxp6hOgpYSrG8pK4/8b3ea64ad9d61919394b8bf873698a5c/galeria03.jpg?fit=pad&amp;fm=webp&amp;h=1200&amp;q=95&amp;w=1600","Pulsar N 125 FI CBS foto 4",0)</x:f>
      </x:c>
      <x:c r="F42" s="135" t="e">
        <x:f>HYPERLINK("https://www.galgo.com/mx/motos/MX3098-bajaj-pulsar-n-125","ABRIR FICHA FUENTE")</x:f>
      </x:c>
    </x:row>
    <x:row r="43" ht="38" customHeight="1">
      <x:c r="A43" s="118" t="str">
        <x:v>ENLACES</x:v>
      </x:c>
      <x:c r="B43" s="127" t="e">
        <x:f>HYPERLINK("https://images.ctfassets.net/8zlbnewncp6f/3ZFcON0QpmSCc2koYYtuHE/12cc8def0c3a4bbfcb93c3e48d0b98c9/imagen_principal.jpg?fit=pad&amp;fm=webp&amp;h=1200&amp;q=95&amp;w=1600","DESCARGAR FOTO 1 EN ALTA")</x:f>
      </x:c>
      <x:c r="C43" s="127" t="e">
        <x:f>HYPERLINK("https://images.ctfassets.net/8zlbnewncp6f/7ADntWPWghGAPbHmHVTo3v/7ff44e7598c0d1862bfeb2a816da7ad3/galeria01.jpg?fit=pad&amp;fm=webp&amp;h=1200&amp;q=95&amp;w=1600","DESCARGAR FOTO 2 EN ALTA")</x:f>
      </x:c>
      <x:c r="D43" s="127" t="e">
        <x:f>HYPERLINK("https://images.ctfassets.net/8zlbnewncp6f/5zEj9HgdFc4ZQsgJWobtzi/3efb1a67e64b7f27e2a37bea2a1e6e95/galeria02.jpg?fit=pad&amp;fm=webp&amp;h=1200&amp;q=95&amp;w=1600","DESCARGAR FOTO 3 EN ALTA")</x:f>
      </x:c>
      <x:c r="E43" s="127" t="e">
        <x:f>HYPERLINK("https://images.ctfassets.net/8zlbnewncp6f/2Cskvamxp6hOgpYSrG8pK4/8b3ea64ad9d61919394b8bf873698a5c/galeria03.jpg?fit=pad&amp;fm=webp&amp;h=1200&amp;q=95&amp;w=1600","DESCARGAR FOTO 4 EN ALTA")</x:f>
      </x:c>
      <x:c r="F43" s="142" t="str">
        <x:v>Fuente exacta del modelo</x:v>
      </x:c>
    </x:row>
    <x:row r="44" ht="24" customHeight="1">
      <x:c r="A44" s="20" t="str">
        <x:v>ESTATUS DE REVISIÓN</x:v>
      </x:c>
      <x:c r="B44" s="20"/>
      <x:c r="C44" s="163" t="str">
        <x:v>REVISAR VERSIÓN</x:v>
      </x:c>
      <x:c r="D44" s="163"/>
      <x:c r="E44" s="163"/>
      <x:c r="F44" s="163"/>
    </x:row>
    <x:row r="45" ht="32" customHeight="1">
      <x:c r="A45" s="20" t="str">
        <x:v>FUENTE TÉCNICA</x:v>
      </x:c>
      <x:c r="B45" s="20"/>
      <x:c r="C45" s="151" t="e">
        <x:f>HYPERLINK("https://www.galgo.com/mx/motos/MX3098-bajaj-pulsar-n-125","https://www.galgo.com/mx/motos/MX3098-bajaj-pulsar-n-125")</x:f>
      </x:c>
      <x:c r="D45" s="151"/>
      <x:c r="E45" s="151"/>
      <x:c r="F45" s="151"/>
    </x:row>
    <x:row r="46" ht="58" customHeight="1">
      <x:c r="A46" s="118" t="str">
        <x:v>NOTA DE CONTROL</x:v>
      </x:c>
      <x:c r="B46" s="118"/>
      <x:c r="C46" s="157" t="str">
        <x:v>La galería comercial es compartida con N125 carburada y la alimentación no se distingue en tomas exteriores. Validar calcomanía FI/CBS y detalle del motor.</x:v>
      </x:c>
      <x:c r="D46" s="157"/>
      <x:c r="E46" s="157"/>
      <x:c r="F46" s="157"/>
    </x:row>
    <x:row r="48" ht="28" customHeight="1">
      <x:c r="A48" s="114" t="str">
        <x:v>07. BAJAJ Pulsar N 125 Car</x:v>
      </x:c>
      <x:c r="B48" s="114"/>
      <x:c r="C48" s="114"/>
      <x:c r="D48" s="114"/>
      <x:c r="E48" s="114"/>
      <x:c r="F48" s="114"/>
    </x:row>
    <x:row r="49" ht="165" customHeight="1">
      <x:c r="A49" s="118" t="str">
        <x:v>FOTOS</x:v>
      </x:c>
      <x:c r="B49" s="121" t="e">
        <x:f>IMAGE("https://images.ctfassets.net/8zlbnewncp6f/3ZFcON0QpmSCc2koYYtuHE/12cc8def0c3a4bbfcb93c3e48d0b98c9/imagen_principal.jpg?fit=pad&amp;fm=webp&amp;h=1200&amp;q=95&amp;w=1600","Pulsar N 125 Car foto 1",0)</x:f>
      </x:c>
      <x:c r="C49" s="121" t="e">
        <x:f>IMAGE("https://images.ctfassets.net/8zlbnewncp6f/7ADntWPWghGAPbHmHVTo3v/7ff44e7598c0d1862bfeb2a816da7ad3/galeria01.jpg?fit=pad&amp;fm=webp&amp;h=1200&amp;q=95&amp;w=1600","Pulsar N 125 Car foto 2",0)</x:f>
      </x:c>
      <x:c r="D49" s="121" t="e">
        <x:f>IMAGE("https://images.ctfassets.net/8zlbnewncp6f/5zEj9HgdFc4ZQsgJWobtzi/3efb1a67e64b7f27e2a37bea2a1e6e95/galeria02.jpg?fit=pad&amp;fm=webp&amp;h=1200&amp;q=95&amp;w=1600","Pulsar N 125 Car foto 3",0)</x:f>
      </x:c>
      <x:c r="E49" s="121" t="e">
        <x:f>IMAGE("https://images.ctfassets.net/8zlbnewncp6f/2Cskvamxp6hOgpYSrG8pK4/8b3ea64ad9d61919394b8bf873698a5c/galeria03.jpg?fit=pad&amp;fm=webp&amp;h=1200&amp;q=95&amp;w=1600","Pulsar N 125 Car foto 4",0)</x:f>
      </x:c>
      <x:c r="F49" s="135" t="e">
        <x:f>HYPERLINK("https://www.galgo.com/mx/motos/MX3506-bajaj-pulsar-n-125-carburada","ABRIR FICHA FUENTE")</x:f>
      </x:c>
    </x:row>
    <x:row r="50" ht="38" customHeight="1">
      <x:c r="A50" s="118" t="str">
        <x:v>ENLACES</x:v>
      </x:c>
      <x:c r="B50" s="127" t="e">
        <x:f>HYPERLINK("https://images.ctfassets.net/8zlbnewncp6f/3ZFcON0QpmSCc2koYYtuHE/12cc8def0c3a4bbfcb93c3e48d0b98c9/imagen_principal.jpg?fit=pad&amp;fm=webp&amp;h=1200&amp;q=95&amp;w=1600","DESCARGAR FOTO 1 EN ALTA")</x:f>
      </x:c>
      <x:c r="C50" s="127" t="e">
        <x:f>HYPERLINK("https://images.ctfassets.net/8zlbnewncp6f/7ADntWPWghGAPbHmHVTo3v/7ff44e7598c0d1862bfeb2a816da7ad3/galeria01.jpg?fit=pad&amp;fm=webp&amp;h=1200&amp;q=95&amp;w=1600","DESCARGAR FOTO 2 EN ALTA")</x:f>
      </x:c>
      <x:c r="D50" s="127" t="e">
        <x:f>HYPERLINK("https://images.ctfassets.net/8zlbnewncp6f/5zEj9HgdFc4ZQsgJWobtzi/3efb1a67e64b7f27e2a37bea2a1e6e95/galeria02.jpg?fit=pad&amp;fm=webp&amp;h=1200&amp;q=95&amp;w=1600","DESCARGAR FOTO 3 EN ALTA")</x:f>
      </x:c>
      <x:c r="E50" s="127" t="e">
        <x:f>HYPERLINK("https://images.ctfassets.net/8zlbnewncp6f/2Cskvamxp6hOgpYSrG8pK4/8b3ea64ad9d61919394b8bf873698a5c/galeria03.jpg?fit=pad&amp;fm=webp&amp;h=1200&amp;q=95&amp;w=1600","DESCARGAR FOTO 4 EN ALTA")</x:f>
      </x:c>
      <x:c r="F50" s="142" t="str">
        <x:v>Fuente exacta del modelo</x:v>
      </x:c>
    </x:row>
    <x:row r="51" ht="24" customHeight="1">
      <x:c r="A51" s="20" t="str">
        <x:v>ESTATUS DE REVISIÓN</x:v>
      </x:c>
      <x:c r="B51" s="20"/>
      <x:c r="C51" s="163" t="str">
        <x:v>REVISAR VERSIÓN</x:v>
      </x:c>
      <x:c r="D51" s="163"/>
      <x:c r="E51" s="163"/>
      <x:c r="F51" s="163"/>
    </x:row>
    <x:row r="52" ht="32" customHeight="1">
      <x:c r="A52" s="20" t="str">
        <x:v>FUENTE TÉCNICA</x:v>
      </x:c>
      <x:c r="B52" s="20"/>
      <x:c r="C52" s="151" t="e">
        <x:f>HYPERLINK("https://www.galgo.com/mx/motos/MX3506-bajaj-pulsar-n-125-carburada","https://www.galgo.com/mx/motos/MX3506-bajaj-pulsar-n-125-carburada")</x:f>
      </x:c>
      <x:c r="D52" s="151"/>
      <x:c r="E52" s="151"/>
      <x:c r="F52" s="151"/>
    </x:row>
    <x:row r="53" ht="58" customHeight="1">
      <x:c r="A53" s="118" t="str">
        <x:v>NOTA DE CONTROL</x:v>
      </x:c>
      <x:c r="B53" s="118"/>
      <x:c r="C53" s="157" t="str">
        <x:v>La galería comercial es compartida con N125 FI. Confirmar carburador, calcomanías y versión antes de cargar como foto principal.</x:v>
      </x:c>
      <x:c r="D53" s="157"/>
      <x:c r="E53" s="157"/>
      <x:c r="F53" s="157"/>
    </x:row>
    <x:row r="55" ht="28" customHeight="1">
      <x:c r="A55" s="114" t="str">
        <x:v>08. BAJAJ Pulsar NS 125 UG</x:v>
      </x:c>
      <x:c r="B55" s="114"/>
      <x:c r="C55" s="114"/>
      <x:c r="D55" s="114"/>
      <x:c r="E55" s="114"/>
      <x:c r="F55" s="114"/>
    </x:row>
    <x:row r="56" ht="165" customHeight="1">
      <x:c r="A56" s="118" t="str">
        <x:v>FOTOS</x:v>
      </x:c>
      <x:c r="B56" s="121" t="e">
        <x:f>IMAGE("https://images.ctfassets.net/8zlbnewncp6f/6PcgCRDs4NkjzV2tCweDbG/cbae515f23432f856b4eba5da384dfa2/Bajaj_Pulsar_NS_125_UG_Imagen_principal2_Galgo_M%C3%A9xico.png?fit=pad&amp;fm=webp&amp;h=1200&amp;q=95&amp;w=1600","Pulsar NS 125 UG foto 1",0)</x:f>
      </x:c>
      <x:c r="C56" s="121" t="e">
        <x:f>IMAGE("https://images.ctfassets.net/8zlbnewncp6f/33yzt3nvg663JfLE9j8fks/2f40fc6e47535450d310ed596dce422f/Bajaj_Pulsar_NS_125_UG_Imagen_principal_Galgo_M%C3%A9xico.png?fit=pad&amp;fm=webp&amp;h=1200&amp;q=95&amp;w=1600","Pulsar NS 125 UG foto 2",0)</x:f>
      </x:c>
      <x:c r="D56" s="121" t="e">
        <x:f>IMAGE("https://images.ctfassets.net/8zlbnewncp6f/2zzIVVRu5elZNduxiQwlcb/16bde9efa05cf324fc245a88dc33975e/Bajaj_Pulsar_NS_125_UG_Imagen_principal3_Galgo_M%C3%A9xico.png?fit=pad&amp;fm=webp&amp;h=1200&amp;q=95&amp;w=1600","Pulsar NS 125 UG foto 3",0)</x:f>
      </x:c>
      <x:c r="E56" s="121" t="e">
        <x:f>IMAGE("https://images.ctfassets.net/8zlbnewncp6f/6zli7lPql404aOOiXkKi8t/cc2073ca0e1d872ab6e4a8d7ed1e4a46/Bajaj_Pulsar_NS_125_UG_Galeria2_Galgo_M%C3%A9xico.png?fit=pad&amp;fm=webp&amp;h=1200&amp;q=95&amp;w=1600","Pulsar NS 125 UG foto 4",0)</x:f>
      </x:c>
      <x:c r="F56" s="135" t="e">
        <x:f>HYPERLINK("https://www.galgo.com/mx/motos/MX1512-bajaj-pulsar-ns-125-ug","ABRIR FICHA FUENTE")</x:f>
      </x:c>
    </x:row>
    <x:row r="57" ht="38" customHeight="1">
      <x:c r="A57" s="118" t="str">
        <x:v>ENLACES</x:v>
      </x:c>
      <x:c r="B57" s="127" t="e">
        <x:f>HYPERLINK("https://images.ctfassets.net/8zlbnewncp6f/6PcgCRDs4NkjzV2tCweDbG/cbae515f23432f856b4eba5da384dfa2/Bajaj_Pulsar_NS_125_UG_Imagen_principal2_Galgo_M%C3%A9xico.png?fit=pad&amp;fm=webp&amp;h=1200&amp;q=95&amp;w=1600","DESCARGAR FOTO 1 EN ALTA")</x:f>
      </x:c>
      <x:c r="C57" s="127" t="e">
        <x:f>HYPERLINK("https://images.ctfassets.net/8zlbnewncp6f/33yzt3nvg663JfLE9j8fks/2f40fc6e47535450d310ed596dce422f/Bajaj_Pulsar_NS_125_UG_Imagen_principal_Galgo_M%C3%A9xico.png?fit=pad&amp;fm=webp&amp;h=1200&amp;q=95&amp;w=1600","DESCARGAR FOTO 2 EN ALTA")</x:f>
      </x:c>
      <x:c r="D57" s="127" t="e">
        <x:f>HYPERLINK("https://images.ctfassets.net/8zlbnewncp6f/2zzIVVRu5elZNduxiQwlcb/16bde9efa05cf324fc245a88dc33975e/Bajaj_Pulsar_NS_125_UG_Imagen_principal3_Galgo_M%C3%A9xico.png?fit=pad&amp;fm=webp&amp;h=1200&amp;q=95&amp;w=1600","DESCARGAR FOTO 3 EN ALTA")</x:f>
      </x:c>
      <x:c r="E57" s="127" t="e">
        <x:f>HYPERLINK("https://images.ctfassets.net/8zlbnewncp6f/6zli7lPql404aOOiXkKi8t/cc2073ca0e1d872ab6e4a8d7ed1e4a46/Bajaj_Pulsar_NS_125_UG_Galeria2_Galgo_M%C3%A9xico.png?fit=pad&amp;fm=webp&amp;h=1200&amp;q=95&amp;w=1600","DESCARGAR FOTO 4 EN ALTA")</x:f>
      </x:c>
      <x:c r="F57" s="142" t="str">
        <x:v>Fuente exacta del modelo</x:v>
      </x:c>
    </x:row>
    <x:row r="58" ht="24" customHeight="1">
      <x:c r="A58" s="20" t="str">
        <x:v>ESTATUS DE REVISIÓN</x:v>
      </x:c>
      <x:c r="B58" s="20"/>
      <x:c r="C58" s="147" t="str">
        <x:v>APROBADA</x:v>
      </x:c>
      <x:c r="D58" s="147"/>
      <x:c r="E58" s="147"/>
      <x:c r="F58" s="147"/>
    </x:row>
    <x:row r="59" ht="32" customHeight="1">
      <x:c r="A59" s="20" t="str">
        <x:v>FUENTE TÉCNICA</x:v>
      </x:c>
      <x:c r="B59" s="20"/>
      <x:c r="C59" s="151" t="e">
        <x:f>HYPERLINK("https://www.galgo.com/mx/motos/MX1512-bajaj-pulsar-ns-125-ug","https://www.galgo.com/mx/motos/MX1512-bajaj-pulsar-ns-125-ug")</x:f>
      </x:c>
      <x:c r="D59" s="151"/>
      <x:c r="E59" s="151"/>
      <x:c r="F59" s="151"/>
    </x:row>
    <x:row r="60" ht="58" customHeight="1">
      <x:c r="A60" s="118" t="str">
        <x:v>NOTA DE CONTROL</x:v>
      </x:c>
      <x:c r="B60" s="118"/>
      <x:c r="C60" s="157" t="str">
        <x:v>Las cuatro fotos corresponden a la carrocería NS125 UG y muestran colores distintos.</x:v>
      </x:c>
      <x:c r="D60" s="157"/>
      <x:c r="E60" s="157"/>
      <x:c r="F60" s="157"/>
    </x:row>
    <x:row r="62" ht="28" customHeight="1">
      <x:c r="A62" s="114" t="str">
        <x:v>09. BAJAJ Pulsar N 160</x:v>
      </x:c>
      <x:c r="B62" s="114"/>
      <x:c r="C62" s="114"/>
      <x:c r="D62" s="114"/>
      <x:c r="E62" s="114"/>
      <x:c r="F62" s="114"/>
    </x:row>
    <x:row r="63" ht="165" customHeight="1">
      <x:c r="A63" s="118" t="str">
        <x:v>FOTOS</x:v>
      </x:c>
      <x:c r="B63" s="121" t="e">
        <x:f>IMAGE("https://images.ctfassets.net/8zlbnewncp6f/Bnojn2wxWVc2qWx96qWLm/630f174fadac572ee64707af3ee69d05/Moto_Bajaj_Pulsar_N_160_Galgo_M%C3%A9xico.png?fit=pad&amp;fm=webp&amp;h=1200&amp;q=95&amp;w=1600","Pulsar N 160 foto 1",0)</x:f>
      </x:c>
      <x:c r="C63" s="121" t="e">
        <x:f>IMAGE("https://images.ctfassets.net/8zlbnewncp6f/5Pvep5iOTWaz6qK713KUAB/b4954d29f5f842e792845c549335da86/Bajaj_Pulsar_N_160_Galeria1_Galgo_.png?fit=pad&amp;fm=webp&amp;h=1200&amp;q=95&amp;w=1600","Pulsar N 160 foto 2",0)</x:f>
      </x:c>
      <x:c r="D63" s="121" t="e">
        <x:f>IMAGE("https://images.ctfassets.net/8zlbnewncp6f/35OPjiAqE6YN1uVqZmTOOC/9f40cd553bbc4f9c62a966b67cbc9040/Bajaj_Pulsar_N_160_Galeria2_Galgo_.png?fit=pad&amp;fm=webp&amp;h=1200&amp;q=95&amp;w=1600","Pulsar N 160 foto 3",0)</x:f>
      </x:c>
      <x:c r="E63" s="121" t="e">
        <x:f>IMAGE("https://images.ctfassets.net/8zlbnewncp6f/6BkAbJZS9IrzkEx9THpE1r/f305b5b5bf167a966d7d911a8cfb0d4e/Bajaj_Pulsar_N_160_Galeria3_Galgo_.png?fit=pad&amp;fm=webp&amp;h=1200&amp;q=95&amp;w=1600","Pulsar N 160 foto 4",0)</x:f>
      </x:c>
      <x:c r="F63" s="135" t="e">
        <x:f>HYPERLINK("https://www.galgo.com/mx/motos/MX451-bajaj-pulsar-n-160","ABRIR FICHA FUENTE")</x:f>
      </x:c>
    </x:row>
    <x:row r="64" ht="38" customHeight="1">
      <x:c r="A64" s="118" t="str">
        <x:v>ENLACES</x:v>
      </x:c>
      <x:c r="B64" s="127" t="e">
        <x:f>HYPERLINK("https://images.ctfassets.net/8zlbnewncp6f/Bnojn2wxWVc2qWx96qWLm/630f174fadac572ee64707af3ee69d05/Moto_Bajaj_Pulsar_N_160_Galgo_M%C3%A9xico.png?fit=pad&amp;fm=webp&amp;h=1200&amp;q=95&amp;w=1600","DESCARGAR FOTO 1 EN ALTA")</x:f>
      </x:c>
      <x:c r="C64" s="127" t="e">
        <x:f>HYPERLINK("https://images.ctfassets.net/8zlbnewncp6f/5Pvep5iOTWaz6qK713KUAB/b4954d29f5f842e792845c549335da86/Bajaj_Pulsar_N_160_Galeria1_Galgo_.png?fit=pad&amp;fm=webp&amp;h=1200&amp;q=95&amp;w=1600","DESCARGAR FOTO 2 EN ALTA")</x:f>
      </x:c>
      <x:c r="D64" s="127" t="e">
        <x:f>HYPERLINK("https://images.ctfassets.net/8zlbnewncp6f/35OPjiAqE6YN1uVqZmTOOC/9f40cd553bbc4f9c62a966b67cbc9040/Bajaj_Pulsar_N_160_Galeria2_Galgo_.png?fit=pad&amp;fm=webp&amp;h=1200&amp;q=95&amp;w=1600","DESCARGAR FOTO 3 EN ALTA")</x:f>
      </x:c>
      <x:c r="E64" s="127" t="e">
        <x:f>HYPERLINK("https://images.ctfassets.net/8zlbnewncp6f/6BkAbJZS9IrzkEx9THpE1r/f305b5b5bf167a966d7d911a8cfb0d4e/Bajaj_Pulsar_N_160_Galeria3_Galgo_.png?fit=pad&amp;fm=webp&amp;h=1200&amp;q=95&amp;w=1600","DESCARGAR FOTO 4 EN ALTA")</x:f>
      </x:c>
      <x:c r="F64" s="142" t="str">
        <x:v>Fuente exacta del modelo</x:v>
      </x:c>
    </x:row>
    <x:row r="65" ht="24" customHeight="1">
      <x:c r="A65" s="20" t="str">
        <x:v>ESTATUS DE REVISIÓN</x:v>
      </x:c>
      <x:c r="B65" s="20"/>
      <x:c r="C65" s="147" t="str">
        <x:v>APROBADA</x:v>
      </x:c>
      <x:c r="D65" s="147"/>
      <x:c r="E65" s="147"/>
      <x:c r="F65" s="147"/>
    </x:row>
    <x:row r="66" ht="32" customHeight="1">
      <x:c r="A66" s="20" t="str">
        <x:v>FUENTE TÉCNICA</x:v>
      </x:c>
      <x:c r="B66" s="20"/>
      <x:c r="C66" s="151" t="e">
        <x:f>HYPERLINK("https://www.galgo.com/mx/motos/MX451-bajaj-pulsar-n-160","https://www.galgo.com/mx/motos/MX451-bajaj-pulsar-n-160")</x:f>
      </x:c>
      <x:c r="D66" s="151"/>
      <x:c r="E66" s="151"/>
      <x:c r="F66" s="151"/>
    </x:row>
    <x:row r="67" ht="58" customHeight="1">
      <x:c r="A67" s="118" t="str">
        <x:v>NOTA DE CONTROL</x:v>
      </x:c>
      <x:c r="B67" s="118"/>
      <x:c r="C67" s="157" t="str">
        <x:v>Versión base sin la denominación FI + ABS. No mezclar con las fotos Premium de barras invertidas.</x:v>
      </x:c>
      <x:c r="D67" s="157"/>
      <x:c r="E67" s="157"/>
      <x:c r="F67" s="157"/>
    </x:row>
    <x:row r="69" ht="28" customHeight="1">
      <x:c r="A69" s="114" t="str">
        <x:v>10. BAJAJ Pulsar NS 160</x:v>
      </x:c>
      <x:c r="B69" s="114"/>
      <x:c r="C69" s="114"/>
      <x:c r="D69" s="114"/>
      <x:c r="E69" s="114"/>
      <x:c r="F69" s="114"/>
    </x:row>
    <x:row r="70" ht="165" customHeight="1">
      <x:c r="A70" s="118" t="str">
        <x:v>FOTOS</x:v>
      </x:c>
      <x:c r="B70" s="121" t="e">
        <x:f>IMAGE("https://images.ctfassets.net/8zlbnewncp6f/5QeSMp1USvAGiUM7NzgTeR/af6d65725c22916eeb4f084841be6f39/Bajaj_Pulsar_160_NS_TD_ABS_UG_Galgo_Per_.png?fit=pad&amp;fm=webp&amp;h=1200&amp;q=95&amp;w=1600","Pulsar NS 160 foto 1",0)</x:f>
      </x:c>
      <x:c r="C70" s="121" t="e">
        <x:f>IMAGE("https://images.ctfassets.net/8zlbnewncp6f/1mTD09VM522r28MIdVjDqj/4d5243a9d4543f15022c9fd397bbb96e/bajaj-pulsar-160-ns-fi-ug-plano-lateral.png?fit=pad&amp;fm=webp&amp;h=1200&amp;q=95&amp;w=1600","Pulsar NS 160 foto 2",0)</x:f>
      </x:c>
      <x:c r="D70" s="121" t="e">
        <x:f>IMAGE("https://images.ctfassets.net/8zlbnewncp6f/2tRMD1yX8wYdF1iDyzrUGW/dd8fafbd78aef5214bbdfec300becea4/bajaj-pulsar-160-ns-fi-ug-plano-lateral.png?fit=pad&amp;fm=webp&amp;h=1200&amp;q=95&amp;w=1600","Pulsar NS 160 foto 3",0)</x:f>
      </x:c>
      <x:c r="E70" s="121" t="e">
        <x:f>IMAGE("https://images.ctfassets.net/8zlbnewncp6f/7HcdOqWLHwyyTn8mh9ZN9Z/6dfdc80ff05063c0a5892d79b5b99ac1/bajaj-pulsar-160-ns-fi-ug-plano-diagonal.png?fit=pad&amp;fm=webp&amp;h=1200&amp;q=95&amp;w=1600","Pulsar NS 160 foto 4",0)</x:f>
      </x:c>
      <x:c r="F70" s="135" t="e">
        <x:f>HYPERLINK("https://www.galgo.com/mx/motos/MX3262-bajaj-pulsar-ns-160","ABRIR FICHA FUENTE")</x:f>
      </x:c>
    </x:row>
    <x:row r="71" ht="38" customHeight="1">
      <x:c r="A71" s="118" t="str">
        <x:v>ENLACES</x:v>
      </x:c>
      <x:c r="B71" s="127" t="e">
        <x:f>HYPERLINK("https://images.ctfassets.net/8zlbnewncp6f/5QeSMp1USvAGiUM7NzgTeR/af6d65725c22916eeb4f084841be6f39/Bajaj_Pulsar_160_NS_TD_ABS_UG_Galgo_Per_.png?fit=pad&amp;fm=webp&amp;h=1200&amp;q=95&amp;w=1600","DESCARGAR FOTO 1 EN ALTA")</x:f>
      </x:c>
      <x:c r="C71" s="127" t="e">
        <x:f>HYPERLINK("https://images.ctfassets.net/8zlbnewncp6f/1mTD09VM522r28MIdVjDqj/4d5243a9d4543f15022c9fd397bbb96e/bajaj-pulsar-160-ns-fi-ug-plano-lateral.png?fit=pad&amp;fm=webp&amp;h=1200&amp;q=95&amp;w=1600","DESCARGAR FOTO 2 EN ALTA")</x:f>
      </x:c>
      <x:c r="D71" s="127" t="e">
        <x:f>HYPERLINK("https://images.ctfassets.net/8zlbnewncp6f/2tRMD1yX8wYdF1iDyzrUGW/dd8fafbd78aef5214bbdfec300becea4/bajaj-pulsar-160-ns-fi-ug-plano-lateral.png?fit=pad&amp;fm=webp&amp;h=1200&amp;q=95&amp;w=1600","DESCARGAR FOTO 3 EN ALTA")</x:f>
      </x:c>
      <x:c r="E71" s="127" t="e">
        <x:f>HYPERLINK("https://images.ctfassets.net/8zlbnewncp6f/7HcdOqWLHwyyTn8mh9ZN9Z/6dfdc80ff05063c0a5892d79b5b99ac1/bajaj-pulsar-160-ns-fi-ug-plano-diagonal.png?fit=pad&amp;fm=webp&amp;h=1200&amp;q=95&amp;w=1600","DESCARGAR FOTO 4 EN ALTA")</x:f>
      </x:c>
      <x:c r="F71" s="142" t="str">
        <x:v>Fuente exacta del modelo</x:v>
      </x:c>
    </x:row>
    <x:row r="72" ht="24" customHeight="1">
      <x:c r="A72" s="20" t="str">
        <x:v>ESTATUS DE REVISIÓN</x:v>
      </x:c>
      <x:c r="B72" s="20"/>
      <x:c r="C72" s="147" t="str">
        <x:v>APROBADA</x:v>
      </x:c>
      <x:c r="D72" s="147"/>
      <x:c r="E72" s="147"/>
      <x:c r="F72" s="147"/>
    </x:row>
    <x:row r="73" ht="32" customHeight="1">
      <x:c r="A73" s="20" t="str">
        <x:v>FUENTE TÉCNICA</x:v>
      </x:c>
      <x:c r="B73" s="20"/>
      <x:c r="C73" s="151" t="e">
        <x:f>HYPERLINK("https://www.galgo.com/mx/motos/MX3262-bajaj-pulsar-ns-160","https://www.galgo.com/mx/motos/MX3262-bajaj-pulsar-ns-160")</x:f>
      </x:c>
      <x:c r="D73" s="151"/>
      <x:c r="E73" s="151"/>
      <x:c r="F73" s="151"/>
    </x:row>
    <x:row r="74" ht="58" customHeight="1">
      <x:c r="A74" s="118" t="str">
        <x:v>NOTA DE CONTROL</x:v>
      </x:c>
      <x:c r="B74" s="118"/>
      <x:c r="C74" s="157" t="str">
        <x:v>Las fotos corresponden a la línea NS160; verificar gráfico/colores del año comercial.</x:v>
      </x:c>
      <x:c r="D74" s="157"/>
      <x:c r="E74" s="157"/>
      <x:c r="F74" s="157"/>
    </x:row>
    <x:row r="76" ht="28" customHeight="1">
      <x:c r="A76" s="114" t="str">
        <x:v>11. BAJAJ Pulsar N 160 FI + ABS UG</x:v>
      </x:c>
      <x:c r="B76" s="114"/>
      <x:c r="C76" s="114"/>
      <x:c r="D76" s="114"/>
      <x:c r="E76" s="114"/>
      <x:c r="F76" s="114"/>
    </x:row>
    <x:row r="77" ht="165" customHeight="1">
      <x:c r="A77" s="118" t="str">
        <x:v>FOTOS</x:v>
      </x:c>
      <x:c r="B77" s="121" t="e">
        <x:f>IMAGE("https://images.ctfassets.net/8zlbnewncp6f/5KcdAR7h2T6DgsfOZabTyo/d38c3df3a068bd1fc5683c9a35e707a3/Bajaj_Pulsar_N_160_2024_Galgo_M_xico.png?fit=pad&amp;fm=webp&amp;h=1200&amp;q=95&amp;w=1600","Pulsar N 160 FI + ABS UG foto 1",0)</x:f>
      </x:c>
      <x:c r="C77" s="121" t="e">
        <x:f>IMAGE("https://images.ctfassets.net/8zlbnewncp6f/1HdyzIiEKQMmncjdrpAVKv/49d0f11013ad5822f82c7f734ca82979/Bajaj_Pulsar_N_160_2024_Galgo_M_xico__1_.png?fit=pad&amp;fm=webp&amp;h=1200&amp;q=95&amp;w=1600","Pulsar N 160 FI + ABS UG foto 2",0)</x:f>
      </x:c>
      <x:c r="D77" s="121" t="e">
        <x:f>IMAGE("https://images.ctfassets.net/8zlbnewncp6f/17bGs6X2qCjV4SsSn7lsKk/34eefb707ae9cb367dd986d6fa8a99a6/Bajaj_Pulsar_N_160_2024_Galgo_M_xico__2_.png?fit=pad&amp;fm=webp&amp;h=1200&amp;q=95&amp;w=1600","Pulsar N 160 FI + ABS UG foto 3",0)</x:f>
      </x:c>
      <x:c r="E77" s="121" t="e">
        <x:f>IMAGE("https://images.ctfassets.net/8zlbnewncp6f/4TywesUd3Me6UgQStm27aQ/d3513e2c93df56462f2dae107a1ec5e5/Bajaj_Pulsar_N_160_2024_Galgo_M_xico__3_.png?fit=pad&amp;fm=webp&amp;h=1200&amp;q=95&amp;w=1600","Pulsar N 160 FI + ABS UG foto 4",0)</x:f>
      </x:c>
      <x:c r="F77" s="135" t="e">
        <x:f>HYPERLINK("https://www.galgo.com/mx/motos/MX2936-bajaj-pulsar-n160-fi-abs-ug","ABRIR FICHA FUENTE")</x:f>
      </x:c>
    </x:row>
    <x:row r="78" ht="38" customHeight="1">
      <x:c r="A78" s="118" t="str">
        <x:v>ENLACES</x:v>
      </x:c>
      <x:c r="B78" s="127" t="e">
        <x:f>HYPERLINK("https://images.ctfassets.net/8zlbnewncp6f/5KcdAR7h2T6DgsfOZabTyo/d38c3df3a068bd1fc5683c9a35e707a3/Bajaj_Pulsar_N_160_2024_Galgo_M_xico.png?fit=pad&amp;fm=webp&amp;h=1200&amp;q=95&amp;w=1600","DESCARGAR FOTO 1 EN ALTA")</x:f>
      </x:c>
      <x:c r="C78" s="127" t="e">
        <x:f>HYPERLINK("https://images.ctfassets.net/8zlbnewncp6f/1HdyzIiEKQMmncjdrpAVKv/49d0f11013ad5822f82c7f734ca82979/Bajaj_Pulsar_N_160_2024_Galgo_M_xico__1_.png?fit=pad&amp;fm=webp&amp;h=1200&amp;q=95&amp;w=1600","DESCARGAR FOTO 2 EN ALTA")</x:f>
      </x:c>
      <x:c r="D78" s="127" t="e">
        <x:f>HYPERLINK("https://images.ctfassets.net/8zlbnewncp6f/17bGs6X2qCjV4SsSn7lsKk/34eefb707ae9cb367dd986d6fa8a99a6/Bajaj_Pulsar_N_160_2024_Galgo_M_xico__2_.png?fit=pad&amp;fm=webp&amp;h=1200&amp;q=95&amp;w=1600","DESCARGAR FOTO 3 EN ALTA")</x:f>
      </x:c>
      <x:c r="E78" s="127" t="e">
        <x:f>HYPERLINK("https://images.ctfassets.net/8zlbnewncp6f/4TywesUd3Me6UgQStm27aQ/d3513e2c93df56462f2dae107a1ec5e5/Bajaj_Pulsar_N_160_2024_Galgo_M_xico__3_.png?fit=pad&amp;fm=webp&amp;h=1200&amp;q=95&amp;w=1600","DESCARGAR FOTO 4 EN ALTA")</x:f>
      </x:c>
      <x:c r="F78" s="142" t="str">
        <x:v>Fuente exacta del modelo</x:v>
      </x:c>
    </x:row>
    <x:row r="79" ht="24" customHeight="1">
      <x:c r="A79" s="20" t="str">
        <x:v>ESTATUS DE REVISIÓN</x:v>
      </x:c>
      <x:c r="B79" s="20"/>
      <x:c r="C79" s="147" t="str">
        <x:v>APROBADA</x:v>
      </x:c>
      <x:c r="D79" s="147"/>
      <x:c r="E79" s="147"/>
      <x:c r="F79" s="147"/>
    </x:row>
    <x:row r="80" ht="32" customHeight="1">
      <x:c r="A80" s="20" t="str">
        <x:v>FUENTE TÉCNICA</x:v>
      </x:c>
      <x:c r="B80" s="20"/>
      <x:c r="C80" s="151" t="e">
        <x:f>HYPERLINK("https://www.motosbajaj.com.mx/product-page/pulsar-n-160-fi-abs-ug","https://www.motosbajaj.com.mx/product-page/pulsar-n-160-fi-abs-ug")</x:f>
      </x:c>
      <x:c r="D80" s="151"/>
      <x:c r="E80" s="151"/>
      <x:c r="F80" s="151"/>
    </x:row>
    <x:row r="81" ht="58" customHeight="1">
      <x:c r="A81" s="118" t="str">
        <x:v>NOTA DE CONTROL</x:v>
      </x:c>
      <x:c r="B81" s="118"/>
      <x:c r="C81" s="157" t="str">
        <x:v>UG con FI + ABS. Las fotos de detalle permiten diferenciarla de la N160 carburada.</x:v>
      </x:c>
      <x:c r="D81" s="157"/>
      <x:c r="E81" s="157"/>
      <x:c r="F81" s="157"/>
    </x:row>
    <x:row r="83" ht="28" customHeight="1">
      <x:c r="A83" s="114" t="str">
        <x:v>12. BAJAJ Pulsar N 160 FI + ABS Premium</x:v>
      </x:c>
      <x:c r="B83" s="114"/>
      <x:c r="C83" s="114"/>
      <x:c r="D83" s="114"/>
      <x:c r="E83" s="114"/>
      <x:c r="F83" s="114"/>
    </x:row>
    <x:row r="84" ht="165" customHeight="1">
      <x:c r="A84" s="118" t="str">
        <x:v>FOTOS</x:v>
      </x:c>
      <x:c r="B84" s="121" t="e">
        <x:f>IMAGE("https://images.ctfassets.net/8zlbnewncp6f/6R3mZW6WdJA4lCPreF0bR9/cea4a278c21bbaa870e65a795508be8c/Bajaj_Pulsar_N_160_FI_ABS_Premium_Imagen_principal_Galgo.png?fit=pad&amp;fm=webp&amp;h=1200&amp;q=95&amp;w=1600","Pulsar N 160 FI + ABS Premium foto 1",0)</x:f>
      </x:c>
      <x:c r="C84" s="121" t="e">
        <x:f>IMAGE("https://images.ctfassets.net/8zlbnewncp6f/2vDp67I7LVLqrtSPy8dYty/23e3a9de644016efc8010c9e6ce1927b/Bajaj_Pulsar_N_160_Galeria_Galgo.png?fit=pad&amp;fm=webp&amp;h=1200&amp;q=95&amp;w=1600","Pulsar N 160 FI + ABS Premium foto 2",0)</x:f>
      </x:c>
      <x:c r="D84" s="121" t="e">
        <x:f>IMAGE("https://images.ctfassets.net/8zlbnewncp6f/7G19Uom8IAsE5hzQYHr4uS/b3f04385bc6007cb2fe759839b8d316b/Bajaj_Pulsar_N_160_Galeria_Galgo.png?fit=pad&amp;fm=webp&amp;h=1200&amp;q=95&amp;w=1600","Pulsar N 160 FI + ABS Premium foto 3",0)</x:f>
      </x:c>
      <x:c r="E84" s="121" t="e">
        <x:f>IMAGE("https://images.ctfassets.net/8zlbnewncp6f/6R3mZW6WdJA4lCPreF0bR9/cea4a278c21bbaa870e65a795508be8c/Bajaj_Pulsar_N_160_FI_ABS_Premium_Imagen_principal_Galgo.png?fit=pad&amp;fm=webp&amp;h=1200&amp;q=95&amp;w=1600","Pulsar N 160 FI + ABS Premium foto 4",0)</x:f>
      </x:c>
      <x:c r="F84" s="135" t="e">
        <x:f>HYPERLINK("https://www.galgo.com/mx/motos/MX3313-bajaj-pulsar-n-160-fi-abs-premium","ABRIR FICHA FUENTE")</x:f>
      </x:c>
    </x:row>
    <x:row r="85" ht="38" customHeight="1">
      <x:c r="A85" s="118" t="str">
        <x:v>ENLACES</x:v>
      </x:c>
      <x:c r="B85" s="127" t="e">
        <x:f>HYPERLINK("https://images.ctfassets.net/8zlbnewncp6f/6R3mZW6WdJA4lCPreF0bR9/cea4a278c21bbaa870e65a795508be8c/Bajaj_Pulsar_N_160_FI_ABS_Premium_Imagen_principal_Galgo.png?fit=pad&amp;fm=webp&amp;h=1200&amp;q=95&amp;w=1600","DESCARGAR FOTO 1 EN ALTA")</x:f>
      </x:c>
      <x:c r="C85" s="127" t="e">
        <x:f>HYPERLINK("https://images.ctfassets.net/8zlbnewncp6f/2vDp67I7LVLqrtSPy8dYty/23e3a9de644016efc8010c9e6ce1927b/Bajaj_Pulsar_N_160_Galeria_Galgo.png?fit=pad&amp;fm=webp&amp;h=1200&amp;q=95&amp;w=1600","DESCARGAR FOTO 2 EN ALTA")</x:f>
      </x:c>
      <x:c r="D85" s="127" t="e">
        <x:f>HYPERLINK("https://images.ctfassets.net/8zlbnewncp6f/7G19Uom8IAsE5hzQYHr4uS/b3f04385bc6007cb2fe759839b8d316b/Bajaj_Pulsar_N_160_Galeria_Galgo.png?fit=pad&amp;fm=webp&amp;h=1200&amp;q=95&amp;w=1600","DESCARGAR FOTO 3 EN ALTA")</x:f>
      </x:c>
      <x:c r="E85" s="127" t="e">
        <x:f>HYPERLINK("https://images.ctfassets.net/8zlbnewncp6f/6R3mZW6WdJA4lCPreF0bR9/cea4a278c21bbaa870e65a795508be8c/Bajaj_Pulsar_N_160_FI_ABS_Premium_Imagen_principal_Galgo.png?fit=pad&amp;fm=webp&amp;h=1200&amp;q=95&amp;w=1600","DESCARGAR FOTO 4 EN ALTA")</x:f>
      </x:c>
      <x:c r="F85" s="142" t="str">
        <x:v>Fuente exacta del modelo</x:v>
      </x:c>
    </x:row>
    <x:row r="86" ht="24" customHeight="1">
      <x:c r="A86" s="20" t="str">
        <x:v>ESTATUS DE REVISIÓN</x:v>
      </x:c>
      <x:c r="B86" s="20"/>
      <x:c r="C86" s="147" t="str">
        <x:v>APROBADA</x:v>
      </x:c>
      <x:c r="D86" s="147"/>
      <x:c r="E86" s="147"/>
      <x:c r="F86" s="147"/>
    </x:row>
    <x:row r="87" ht="32" customHeight="1">
      <x:c r="A87" s="20" t="str">
        <x:v>FUENTE TÉCNICA</x:v>
      </x:c>
      <x:c r="B87" s="20"/>
      <x:c r="C87" s="151" t="e">
        <x:f>HYPERLINK("https://www.motosbajaj.com.mx/product-page/pulsar-n-160-fi-abs-premium","https://www.motosbajaj.com.mx/product-page/pulsar-n-160-fi-abs-premium")</x:f>
      </x:c>
      <x:c r="D87" s="151"/>
      <x:c r="E87" s="151"/>
      <x:c r="F87" s="151"/>
    </x:row>
    <x:row r="88" ht="58" customHeight="1">
      <x:c r="A88" s="118" t="str">
        <x:v>NOTA DE CONTROL</x:v>
      </x:c>
      <x:c r="B88" s="118"/>
      <x:c r="C88" s="157" t="str">
        <x:v>Premium: identificar por barras invertidas y diseño frontal actualizado. Una imagen se sirve a 500 px desde la fuente.</x:v>
      </x:c>
      <x:c r="D88" s="157"/>
      <x:c r="E88" s="157"/>
      <x:c r="F88" s="157"/>
    </x:row>
    <x:row r="90" ht="28" customHeight="1">
      <x:c r="A90" s="114" t="str">
        <x:v>13. BAJAJ Pulsar NS 200</x:v>
      </x:c>
      <x:c r="B90" s="114"/>
      <x:c r="C90" s="114"/>
      <x:c r="D90" s="114"/>
      <x:c r="E90" s="114"/>
      <x:c r="F90" s="114"/>
    </x:row>
    <x:row r="91" ht="165" customHeight="1">
      <x:c r="A91" s="118" t="str">
        <x:v>FOTOS</x:v>
      </x:c>
      <x:c r="B91" s="121" t="e">
        <x:f>IMAGE("https://images.ctfassets.net/8zlbnewncp6f/E5Y5eGWA8YlhfFVyNISfb/c5e58bc6750e06e0ded5388af24a5d11/Bajaj_pulsar_ns_200_galgo_m_xico.png?fit=pad&amp;fm=webp&amp;h=1200&amp;q=95&amp;w=1600","Pulsar NS 200 foto 1",0)</x:f>
      </x:c>
      <x:c r="C91" s="121" t="e">
        <x:f>IMAGE("https://images.ctfassets.net/8zlbnewncp6f/3T33LfLh7EyM4dhQZz2Kbl/35439be7578c0bb18b55622598d7a1fc/bajaj-pulsar-ns-200-close-up-faro.png?fit=pad&amp;fm=webp&amp;h=1200&amp;q=95&amp;w=1600","Pulsar NS 200 foto 2",0)</x:f>
      </x:c>
      <x:c r="D91" s="121" t="e">
        <x:f>IMAGE("https://images.ctfassets.net/8zlbnewncp6f/33B9SMEgrMFZ1Jh9DXtxY9/cf5f67b169894e9c8ac794f655f981d6/bajaj-pulsar-ns-200-close-up-tablero.png?fit=pad&amp;fm=webp&amp;h=1200&amp;q=95&amp;w=1600","Pulsar NS 200 foto 3",0)</x:f>
      </x:c>
      <x:c r="E91" s="121" t="e">
        <x:f>IMAGE("https://images.ctfassets.net/8zlbnewncp6f/65i63xwRj68OqlIkt0LX6o/08eb3c833ebdd3c30efbb526c55c57d2/bajaj-pulsar-ns-200-close-up-motor.png?fit=pad&amp;fm=webp&amp;h=1200&amp;q=95&amp;w=1600","Pulsar NS 200 foto 4",0)</x:f>
      </x:c>
      <x:c r="F91" s="135" t="e">
        <x:f>HYPERLINK("https://www.galgo.com/mx/motos/MX1172-bajaj-pulsar-ns-200-2023","ABRIR FICHA FUENTE")</x:f>
      </x:c>
    </x:row>
    <x:row r="92" ht="38" customHeight="1">
      <x:c r="A92" s="118" t="str">
        <x:v>ENLACES</x:v>
      </x:c>
      <x:c r="B92" s="127" t="e">
        <x:f>HYPERLINK("https://images.ctfassets.net/8zlbnewncp6f/E5Y5eGWA8YlhfFVyNISfb/c5e58bc6750e06e0ded5388af24a5d11/Bajaj_pulsar_ns_200_galgo_m_xico.png?fit=pad&amp;fm=webp&amp;h=1200&amp;q=95&amp;w=1600","DESCARGAR FOTO 1 EN ALTA")</x:f>
      </x:c>
      <x:c r="C92" s="127" t="e">
        <x:f>HYPERLINK("https://images.ctfassets.net/8zlbnewncp6f/3T33LfLh7EyM4dhQZz2Kbl/35439be7578c0bb18b55622598d7a1fc/bajaj-pulsar-ns-200-close-up-faro.png?fit=pad&amp;fm=webp&amp;h=1200&amp;q=95&amp;w=1600","DESCARGAR FOTO 2 EN ALTA")</x:f>
      </x:c>
      <x:c r="D92" s="127" t="e">
        <x:f>HYPERLINK("https://images.ctfassets.net/8zlbnewncp6f/33B9SMEgrMFZ1Jh9DXtxY9/cf5f67b169894e9c8ac794f655f981d6/bajaj-pulsar-ns-200-close-up-tablero.png?fit=pad&amp;fm=webp&amp;h=1200&amp;q=95&amp;w=1600","DESCARGAR FOTO 3 EN ALTA")</x:f>
      </x:c>
      <x:c r="E92" s="127" t="e">
        <x:f>HYPERLINK("https://images.ctfassets.net/8zlbnewncp6f/65i63xwRj68OqlIkt0LX6o/08eb3c833ebdd3c30efbb526c55c57d2/bajaj-pulsar-ns-200-close-up-motor.png?fit=pad&amp;fm=webp&amp;h=1200&amp;q=95&amp;w=1600","DESCARGAR FOTO 4 EN ALTA")</x:f>
      </x:c>
      <x:c r="F92" s="142" t="str">
        <x:v>Fuente exacta del modelo</x:v>
      </x:c>
    </x:row>
    <x:row r="93" ht="24" customHeight="1">
      <x:c r="A93" s="20" t="str">
        <x:v>ESTATUS DE REVISIÓN</x:v>
      </x:c>
      <x:c r="B93" s="20"/>
      <x:c r="C93" s="147" t="str">
        <x:v>APROBADA</x:v>
      </x:c>
      <x:c r="D93" s="147"/>
      <x:c r="E93" s="147"/>
      <x:c r="F93" s="147"/>
    </x:row>
    <x:row r="94" ht="32" customHeight="1">
      <x:c r="A94" s="20" t="str">
        <x:v>FUENTE TÉCNICA</x:v>
      </x:c>
      <x:c r="B94" s="20"/>
      <x:c r="C94" s="151" t="e">
        <x:f>HYPERLINK("https://www.galgo.com/mx/motos/MX1172-bajaj-pulsar-ns-200-2023","https://www.galgo.com/mx/motos/MX1172-bajaj-pulsar-ns-200-2023")</x:f>
      </x:c>
      <x:c r="D94" s="151"/>
      <x:c r="E94" s="151"/>
      <x:c r="F94" s="151"/>
    </x:row>
    <x:row r="95" ht="58" customHeight="1">
      <x:c r="A95" s="118" t="str">
        <x:v>NOTA DE CONTROL</x:v>
      </x:c>
      <x:c r="B95" s="118"/>
      <x:c r="C95" s="157" t="str">
        <x:v>Versión sin la denominación FI ABS. No usar imágenes que muestren emblemas ABS si el inventario es base.</x:v>
      </x:c>
      <x:c r="D95" s="157"/>
      <x:c r="E95" s="157"/>
      <x:c r="F95" s="157"/>
    </x:row>
    <x:row r="97" ht="28" customHeight="1">
      <x:c r="A97" s="114" t="str">
        <x:v>14. BAJAJ Pulsar NS 200 FI ABS</x:v>
      </x:c>
      <x:c r="B97" s="114"/>
      <x:c r="C97" s="114"/>
      <x:c r="D97" s="114"/>
      <x:c r="E97" s="114"/>
      <x:c r="F97" s="114"/>
    </x:row>
    <x:row r="98" ht="165" customHeight="1">
      <x:c r="A98" s="118" t="str">
        <x:v>FOTOS</x:v>
      </x:c>
      <x:c r="B98" s="121" t="e">
        <x:f>IMAGE("https://images.ctfassets.net/8zlbnewncp6f/1byr0derItwW6P4WhMqCRV/25f5462a063a85b5107a07313b94d2fa/Imagen_principal.jpg?fit=pad&amp;fm=webp&amp;h=1200&amp;q=95&amp;w=1600","Pulsar NS 200 FI ABS foto 1",0)</x:f>
      </x:c>
      <x:c r="C98" s="121" t="e">
        <x:f>IMAGE("https://images.ctfassets.net/8zlbnewncp6f/v4fOlCKRzYAN19XM5c34Y/8fb6196fba728d3d3c9af41bc112ccfe/descarga__1_.jpg?fit=pad&amp;fm=webp&amp;h=1200&amp;q=95&amp;w=1600","Pulsar NS 200 FI ABS foto 2",0)</x:f>
      </x:c>
      <x:c r="D98" s="121" t="e">
        <x:f>IMAGE("https://images.ctfassets.net/8zlbnewncp6f/59LrRGnv0GSsjy7GH4ccJc/2c76c4ccae11bf57d671ad617503e758/descarga__2_.jpg?fit=pad&amp;fm=webp&amp;h=1200&amp;q=95&amp;w=1600","Pulsar NS 200 FI ABS foto 3",0)</x:f>
      </x:c>
      <x:c r="E98" s="121" t="e">
        <x:f>IMAGE("https://images.ctfassets.net/8zlbnewncp6f/3Hn33KZ2Ip7WLybyLIU5PZ/12d8ac73c4d465a03d02280da3eb33f3/Bajaj_Pulsar_NS_200_15.jpg?fit=pad&amp;fm=webp&amp;h=1200&amp;q=95&amp;w=1600","Pulsar NS 200 FI ABS foto 4",0)</x:f>
      </x:c>
      <x:c r="F98" s="135" t="e">
        <x:f>HYPERLINK("https://www.galgo.com/mx/motos/MX245-bajaj-pulsar-200-ns-fi-abs","ABRIR FICHA FUENTE")</x:f>
      </x:c>
    </x:row>
    <x:row r="99" ht="38" customHeight="1">
      <x:c r="A99" s="118" t="str">
        <x:v>ENLACES</x:v>
      </x:c>
      <x:c r="B99" s="127" t="e">
        <x:f>HYPERLINK("https://images.ctfassets.net/8zlbnewncp6f/1byr0derItwW6P4WhMqCRV/25f5462a063a85b5107a07313b94d2fa/Imagen_principal.jpg?fit=pad&amp;fm=webp&amp;h=1200&amp;q=95&amp;w=1600","DESCARGAR FOTO 1 EN ALTA")</x:f>
      </x:c>
      <x:c r="C99" s="127" t="e">
        <x:f>HYPERLINK("https://images.ctfassets.net/8zlbnewncp6f/v4fOlCKRzYAN19XM5c34Y/8fb6196fba728d3d3c9af41bc112ccfe/descarga__1_.jpg?fit=pad&amp;fm=webp&amp;h=1200&amp;q=95&amp;w=1600","DESCARGAR FOTO 2 EN ALTA")</x:f>
      </x:c>
      <x:c r="D99" s="127" t="e">
        <x:f>HYPERLINK("https://images.ctfassets.net/8zlbnewncp6f/59LrRGnv0GSsjy7GH4ccJc/2c76c4ccae11bf57d671ad617503e758/descarga__2_.jpg?fit=pad&amp;fm=webp&amp;h=1200&amp;q=95&amp;w=1600","DESCARGAR FOTO 3 EN ALTA")</x:f>
      </x:c>
      <x:c r="E99" s="127" t="e">
        <x:f>HYPERLINK("https://images.ctfassets.net/8zlbnewncp6f/3Hn33KZ2Ip7WLybyLIU5PZ/12d8ac73c4d465a03d02280da3eb33f3/Bajaj_Pulsar_NS_200_15.jpg?fit=pad&amp;fm=webp&amp;h=1200&amp;q=95&amp;w=1600","DESCARGAR FOTO 4 EN ALTA")</x:f>
      </x:c>
      <x:c r="F99" s="142" t="str">
        <x:v>Fuente exacta del modelo</x:v>
      </x:c>
    </x:row>
    <x:row r="100" ht="24" customHeight="1">
      <x:c r="A100" s="20" t="str">
        <x:v>ESTATUS DE REVISIÓN</x:v>
      </x:c>
      <x:c r="B100" s="20"/>
      <x:c r="C100" s="147" t="str">
        <x:v>APROBADA</x:v>
      </x:c>
      <x:c r="D100" s="147"/>
      <x:c r="E100" s="147"/>
      <x:c r="F100" s="147"/>
    </x:row>
    <x:row r="101" ht="32" customHeight="1">
      <x:c r="A101" s="20" t="str">
        <x:v>FUENTE TÉCNICA</x:v>
      </x:c>
      <x:c r="B101" s="20"/>
      <x:c r="C101" s="151" t="e">
        <x:f>HYPERLINK("https://www.galgo.com/mx/motos/MX245-bajaj-pulsar-200-ns-fi-abs","https://www.galgo.com/mx/motos/MX245-bajaj-pulsar-200-ns-fi-abs")</x:f>
      </x:c>
      <x:c r="D101" s="151"/>
      <x:c r="E101" s="151"/>
      <x:c r="F101" s="151"/>
    </x:row>
    <x:row r="102" ht="58" customHeight="1">
      <x:c r="A102" s="118" t="str">
        <x:v>NOTA DE CONTROL</x:v>
      </x:c>
      <x:c r="B102" s="118"/>
      <x:c r="C102" s="157" t="str">
        <x:v>FI ABS: confirmar sensor/aro ABS y calcomanías de la versión al publicar.</x:v>
      </x:c>
      <x:c r="D102" s="157"/>
      <x:c r="E102" s="157"/>
      <x:c r="F102" s="157"/>
    </x:row>
    <x:row r="104" ht="28" customHeight="1">
      <x:c r="A104" s="114" t="str">
        <x:v>15. BAJAJ Pulsar N 250</x:v>
      </x:c>
      <x:c r="B104" s="114"/>
      <x:c r="C104" s="114"/>
      <x:c r="D104" s="114"/>
      <x:c r="E104" s="114"/>
      <x:c r="F104" s="114"/>
    </x:row>
    <x:row r="105" ht="165" customHeight="1">
      <x:c r="A105" s="118" t="str">
        <x:v>FOTOS</x:v>
      </x:c>
      <x:c r="B105" s="121" t="e">
        <x:f>IMAGE("https://images.ctfassets.net/8zlbnewncp6f/4RxbRFRNzlhu2RJfqBgeF7/1ca682a20ae05bbf97b356618ab89b43/imagen_principal.jpg?fit=pad&amp;fm=webp&amp;h=1200&amp;q=95&amp;w=1600","Pulsar N 250 foto 1",0)</x:f>
      </x:c>
      <x:c r="C105" s="121" t="e">
        <x:f>IMAGE("https://images.ctfassets.net/8zlbnewncp6f/7GmjE6o1kT8tkkJeTkQU8D/a564734a6567291cacacb8626ae834ba/Bajaj_Pulsar_N_250_Galeria1_Galgo.jpg?fit=pad&amp;fm=webp&amp;h=1200&amp;q=95&amp;w=1600","Pulsar N 250 foto 2",0)</x:f>
      </x:c>
      <x:c r="D105" s="121" t="e">
        <x:f>IMAGE("https://images.ctfassets.net/8zlbnewncp6f/3PF50CdSIDjHJXawo8VHGS/84feb291c58dc0a37184a0d3e172fbc0/Bajaj_Pulsar_N_250_Galeria2_Galgo.jpg?fit=pad&amp;fm=webp&amp;h=1200&amp;q=95&amp;w=1600","Pulsar N 250 foto 3",0)</x:f>
      </x:c>
      <x:c r="E105" s="121" t="e">
        <x:f>IMAGE("https://images.ctfassets.net/8zlbnewncp6f/1chgHSW62yNzJxmKq32hhT/1593e0214e379ce2945bced0878719b4/Bajaj_Pulsar_N_250_Galeria3_Galgo.jpg?fit=pad&amp;fm=webp&amp;h=1200&amp;q=95&amp;w=1600","Pulsar N 250 foto 4",0)</x:f>
      </x:c>
      <x:c r="F105" s="135" t="e">
        <x:f>HYPERLINK("https://www.galgo.com/mx/motos/MX329-bajaj-pulsar-n-250","ABRIR FICHA FUENTE")</x:f>
      </x:c>
    </x:row>
    <x:row r="106" ht="38" customHeight="1">
      <x:c r="A106" s="118" t="str">
        <x:v>ENLACES</x:v>
      </x:c>
      <x:c r="B106" s="127" t="e">
        <x:f>HYPERLINK("https://images.ctfassets.net/8zlbnewncp6f/4RxbRFRNzlhu2RJfqBgeF7/1ca682a20ae05bbf97b356618ab89b43/imagen_principal.jpg?fit=pad&amp;fm=webp&amp;h=1200&amp;q=95&amp;w=1600","DESCARGAR FOTO 1 EN ALTA")</x:f>
      </x:c>
      <x:c r="C106" s="127" t="e">
        <x:f>HYPERLINK("https://images.ctfassets.net/8zlbnewncp6f/7GmjE6o1kT8tkkJeTkQU8D/a564734a6567291cacacb8626ae834ba/Bajaj_Pulsar_N_250_Galeria1_Galgo.jpg?fit=pad&amp;fm=webp&amp;h=1200&amp;q=95&amp;w=1600","DESCARGAR FOTO 2 EN ALTA")</x:f>
      </x:c>
      <x:c r="D106" s="127" t="e">
        <x:f>HYPERLINK("https://images.ctfassets.net/8zlbnewncp6f/3PF50CdSIDjHJXawo8VHGS/84feb291c58dc0a37184a0d3e172fbc0/Bajaj_Pulsar_N_250_Galeria2_Galgo.jpg?fit=pad&amp;fm=webp&amp;h=1200&amp;q=95&amp;w=1600","DESCARGAR FOTO 3 EN ALTA")</x:f>
      </x:c>
      <x:c r="E106" s="127" t="e">
        <x:f>HYPERLINK("https://images.ctfassets.net/8zlbnewncp6f/1chgHSW62yNzJxmKq32hhT/1593e0214e379ce2945bced0878719b4/Bajaj_Pulsar_N_250_Galeria3_Galgo.jpg?fit=pad&amp;fm=webp&amp;h=1200&amp;q=95&amp;w=1600","DESCARGAR FOTO 4 EN ALTA")</x:f>
      </x:c>
      <x:c r="F106" s="142" t="str">
        <x:v>Fuente exacta del modelo</x:v>
      </x:c>
    </x:row>
    <x:row r="107" ht="24" customHeight="1">
      <x:c r="A107" s="20" t="str">
        <x:v>ESTATUS DE REVISIÓN</x:v>
      </x:c>
      <x:c r="B107" s="20"/>
      <x:c r="C107" s="147" t="str">
        <x:v>APROBADA</x:v>
      </x:c>
      <x:c r="D107" s="147"/>
      <x:c r="E107" s="147"/>
      <x:c r="F107" s="147"/>
    </x:row>
    <x:row r="108" ht="32" customHeight="1">
      <x:c r="A108" s="20" t="str">
        <x:v>FUENTE TÉCNICA</x:v>
      </x:c>
      <x:c r="B108" s="20"/>
      <x:c r="C108" s="151" t="e">
        <x:f>HYPERLINK("https://www.galgo.com/mx/motos/MX329-bajaj-pulsar-n-250","https://www.galgo.com/mx/motos/MX329-bajaj-pulsar-n-250")</x:f>
      </x:c>
      <x:c r="D108" s="151"/>
      <x:c r="E108" s="151"/>
      <x:c r="F108" s="151"/>
    </x:row>
    <x:row r="109" ht="58" customHeight="1">
      <x:c r="A109" s="118" t="str">
        <x:v>NOTA DE CONTROL</x:v>
      </x:c>
      <x:c r="B109" s="118"/>
      <x:c r="C109" s="157" t="str">
        <x:v>Versión carburada. Las fotos muestran distintos colores oficiales de la misma carrocería N250.</x:v>
      </x:c>
      <x:c r="D109" s="157"/>
      <x:c r="E109" s="157"/>
      <x:c r="F109" s="157"/>
    </x:row>
    <x:row r="111" ht="28" customHeight="1">
      <x:c r="A111" s="114" t="str">
        <x:v>16. BAJAJ Pulsar N 250 FI + ABS</x:v>
      </x:c>
      <x:c r="B111" s="114"/>
      <x:c r="C111" s="114"/>
      <x:c r="D111" s="114"/>
      <x:c r="E111" s="114"/>
      <x:c r="F111" s="114"/>
    </x:row>
    <x:row r="112" ht="165" customHeight="1">
      <x:c r="A112" s="118" t="str">
        <x:v>FOTOS</x:v>
      </x:c>
      <x:c r="B112" s="121" t="e">
        <x:f>IMAGE("https://images.ctfassets.net/8zlbnewncp6f/BsE5skGm1R5RHIbF3ep0m/8daeafdca7278687d9075285ac56a369/imagen_principal.png?fit=pad&amp;fm=webp&amp;h=1200&amp;q=95&amp;w=1600","Pulsar N 250 FI + ABS foto 1",0)</x:f>
      </x:c>
      <x:c r="C112" s="121" t="e">
        <x:f>IMAGE("https://images.ctfassets.net/8zlbnewncp6f/1zVK85ueluY4CKlDG65Pf9/520414adaf73fcca72932352374e4c7c/33_pulsar-n250_360_black_2023_2.jpg?fit=pad&amp;fm=webp&amp;h=1200&amp;q=95&amp;w=1600","Pulsar N 250 FI + ABS foto 2",0)</x:f>
      </x:c>
      <x:c r="D112" s="121" t="e">
        <x:f>IMAGE("https://images.ctfassets.net/8zlbnewncp6f/6vujIsqYWGIqaOtCW9FyWS/8f2db20e5d50e4cd26d8e9c29357f8ce/21_pulsar-n250_360_black_2023_2.jpg?fit=pad&amp;fm=webp&amp;h=1200&amp;q=95&amp;w=1600","Pulsar N 250 FI + ABS foto 3",0)</x:f>
      </x:c>
      <x:c r="E112" s="121" t="e">
        <x:f>IMAGE("https://images.ctfassets.net/8zlbnewncp6f/50XMpF7xM98VTjzQqt1cOB/7cb8b93d9dd0a98dcdd9be6f54c7b4dd/pulsar_2024_roja_1_1_1.jpg?fit=pad&amp;fm=webp&amp;h=1200&amp;q=95&amp;w=1600","Pulsar N 250 FI + ABS foto 4",0)</x:f>
      </x:c>
      <x:c r="F112" s="135" t="e">
        <x:f>HYPERLINK("https://www.galgo.com/mx/motos/MX2450-bajaj-n-250-fi-abs","ABRIR FICHA FUENTE")</x:f>
      </x:c>
    </x:row>
    <x:row r="113" ht="38" customHeight="1">
      <x:c r="A113" s="118" t="str">
        <x:v>ENLACES</x:v>
      </x:c>
      <x:c r="B113" s="127" t="e">
        <x:f>HYPERLINK("https://images.ctfassets.net/8zlbnewncp6f/BsE5skGm1R5RHIbF3ep0m/8daeafdca7278687d9075285ac56a369/imagen_principal.png?fit=pad&amp;fm=webp&amp;h=1200&amp;q=95&amp;w=1600","DESCARGAR FOTO 1 EN ALTA")</x:f>
      </x:c>
      <x:c r="C113" s="127" t="e">
        <x:f>HYPERLINK("https://images.ctfassets.net/8zlbnewncp6f/1zVK85ueluY4CKlDG65Pf9/520414adaf73fcca72932352374e4c7c/33_pulsar-n250_360_black_2023_2.jpg?fit=pad&amp;fm=webp&amp;h=1200&amp;q=95&amp;w=1600","DESCARGAR FOTO 2 EN ALTA")</x:f>
      </x:c>
      <x:c r="D113" s="127" t="e">
        <x:f>HYPERLINK("https://images.ctfassets.net/8zlbnewncp6f/6vujIsqYWGIqaOtCW9FyWS/8f2db20e5d50e4cd26d8e9c29357f8ce/21_pulsar-n250_360_black_2023_2.jpg?fit=pad&amp;fm=webp&amp;h=1200&amp;q=95&amp;w=1600","DESCARGAR FOTO 3 EN ALTA")</x:f>
      </x:c>
      <x:c r="E113" s="127" t="e">
        <x:f>HYPERLINK("https://images.ctfassets.net/8zlbnewncp6f/50XMpF7xM98VTjzQqt1cOB/7cb8b93d9dd0a98dcdd9be6f54c7b4dd/pulsar_2024_roja_1_1_1.jpg?fit=pad&amp;fm=webp&amp;h=1200&amp;q=95&amp;w=1600","DESCARGAR FOTO 4 EN ALTA")</x:f>
      </x:c>
      <x:c r="F113" s="142" t="str">
        <x:v>Fuente exacta del modelo</x:v>
      </x:c>
    </x:row>
    <x:row r="114" ht="24" customHeight="1">
      <x:c r="A114" s="20" t="str">
        <x:v>ESTATUS DE REVISIÓN</x:v>
      </x:c>
      <x:c r="B114" s="20"/>
      <x:c r="C114" s="147" t="str">
        <x:v>APROBADA</x:v>
      </x:c>
      <x:c r="D114" s="147"/>
      <x:c r="E114" s="147"/>
      <x:c r="F114" s="147"/>
    </x:row>
    <x:row r="115" ht="32" customHeight="1">
      <x:c r="A115" s="20" t="str">
        <x:v>FUENTE TÉCNICA</x:v>
      </x:c>
      <x:c r="B115" s="20"/>
      <x:c r="C115" s="151" t="e">
        <x:f>HYPERLINK("https://www.galgo.com/mx/motos/MX2450-bajaj-n-250-fi-abs","https://www.galgo.com/mx/motos/MX2450-bajaj-n-250-fi-abs")</x:f>
      </x:c>
      <x:c r="D115" s="151"/>
      <x:c r="E115" s="151"/>
      <x:c r="F115" s="151"/>
    </x:row>
    <x:row r="116" ht="58" customHeight="1">
      <x:c r="A116" s="118" t="str">
        <x:v>NOTA DE CONTROL</x:v>
      </x:c>
      <x:c r="B116" s="118"/>
      <x:c r="C116" s="157" t="str">
        <x:v>FI + ABS. Verificar distintivo ABS y año, pues algunos ángulos se parecen mucho a la N250 carburada.</x:v>
      </x:c>
      <x:c r="D116" s="157"/>
      <x:c r="E116" s="157"/>
      <x:c r="F116" s="157"/>
    </x:row>
    <x:row r="118" ht="28" customHeight="1">
      <x:c r="A118" s="114" t="str">
        <x:v>17. BAJAJ Pulsar F 250</x:v>
      </x:c>
      <x:c r="B118" s="114"/>
      <x:c r="C118" s="114"/>
      <x:c r="D118" s="114"/>
      <x:c r="E118" s="114"/>
      <x:c r="F118" s="114"/>
    </x:row>
    <x:row r="119" ht="165" customHeight="1">
      <x:c r="A119" s="118" t="str">
        <x:v>FOTOS</x:v>
      </x:c>
      <x:c r="B119" s="121" t="e">
        <x:f>IMAGE("https://images.ctfassets.net/8zlbnewncp6f/2BvXVsnnxx4e4AdH0C5fFr/eec3e771820eeafd61d05180209f0acc/Bajaj_Pulsar_F250_Imagen_principal_Galgo.png?fit=pad&amp;fm=webp&amp;h=1200&amp;q=95&amp;w=1600","Pulsar F 250 foto 1",0)</x:f>
      </x:c>
      <x:c r="C119" s="121" t="e">
        <x:f>IMAGE("https://images.ctfassets.net/8zlbnewncp6f/7pxBgY1UqWlS907DAb6PVw/1d66b6538e8b5585673867a90f9f4de5/Bajaj_Pulsar_F250_Galeria5_Galgo.png?fit=pad&amp;fm=webp&amp;h=1200&amp;q=95&amp;w=1600","Pulsar F 250 foto 2",0)</x:f>
      </x:c>
      <x:c r="D119" s="121" t="e">
        <x:f>IMAGE("https://images.ctfassets.net/8zlbnewncp6f/7vU72EZ3rG34lvDP6CUCfu/efb6605fad3546fe2e036af73da522bb/Bajaj_Pulsar_F250_Galeria4_Galgo.png?fit=pad&amp;fm=webp&amp;h=1200&amp;q=95&amp;w=1600","Pulsar F 250 foto 3",0)</x:f>
      </x:c>
      <x:c r="E119" s="121" t="e">
        <x:f>IMAGE("https://images.ctfassets.net/8zlbnewncp6f/hIWTawxGk1dhPw0BZqOJm/c0067ef5f412818b338432ac6161944d/Bajaj_Pulsar_F250_Galeria2_Galgo.png?fit=pad&amp;fm=webp&amp;h=1200&amp;q=95&amp;w=1600","Pulsar F 250 foto 4",0)</x:f>
      </x:c>
      <x:c r="F119" s="135" t="e">
        <x:f>HYPERLINK("https://www.galgo.com/mx/motos/MX3265-bajaj-pulsar-f250","ABRIR FICHA FUENTE")</x:f>
      </x:c>
    </x:row>
    <x:row r="120" ht="38" customHeight="1">
      <x:c r="A120" s="118" t="str">
        <x:v>ENLACES</x:v>
      </x:c>
      <x:c r="B120" s="127" t="e">
        <x:f>HYPERLINK("https://images.ctfassets.net/8zlbnewncp6f/2BvXVsnnxx4e4AdH0C5fFr/eec3e771820eeafd61d05180209f0acc/Bajaj_Pulsar_F250_Imagen_principal_Galgo.png?fit=pad&amp;fm=webp&amp;h=1200&amp;q=95&amp;w=1600","DESCARGAR FOTO 1 EN ALTA")</x:f>
      </x:c>
      <x:c r="C120" s="127" t="e">
        <x:f>HYPERLINK("https://images.ctfassets.net/8zlbnewncp6f/7pxBgY1UqWlS907DAb6PVw/1d66b6538e8b5585673867a90f9f4de5/Bajaj_Pulsar_F250_Galeria5_Galgo.png?fit=pad&amp;fm=webp&amp;h=1200&amp;q=95&amp;w=1600","DESCARGAR FOTO 2 EN ALTA")</x:f>
      </x:c>
      <x:c r="D120" s="127" t="e">
        <x:f>HYPERLINK("https://images.ctfassets.net/8zlbnewncp6f/7vU72EZ3rG34lvDP6CUCfu/efb6605fad3546fe2e036af73da522bb/Bajaj_Pulsar_F250_Galeria4_Galgo.png?fit=pad&amp;fm=webp&amp;h=1200&amp;q=95&amp;w=1600","DESCARGAR FOTO 3 EN ALTA")</x:f>
      </x:c>
      <x:c r="E120" s="127" t="e">
        <x:f>HYPERLINK("https://images.ctfassets.net/8zlbnewncp6f/hIWTawxGk1dhPw0BZqOJm/c0067ef5f412818b338432ac6161944d/Bajaj_Pulsar_F250_Galeria2_Galgo.png?fit=pad&amp;fm=webp&amp;h=1200&amp;q=95&amp;w=1600","DESCARGAR FOTO 4 EN ALTA")</x:f>
      </x:c>
      <x:c r="F120" s="142" t="str">
        <x:v>Fuente exacta del modelo</x:v>
      </x:c>
    </x:row>
    <x:row r="121" ht="24" customHeight="1">
      <x:c r="A121" s="20" t="str">
        <x:v>ESTATUS DE REVISIÓN</x:v>
      </x:c>
      <x:c r="B121" s="20"/>
      <x:c r="C121" s="167" t="str">
        <x:v>APROBADA CON CORRECCIÓN</x:v>
      </x:c>
      <x:c r="D121" s="167"/>
      <x:c r="E121" s="167"/>
      <x:c r="F121" s="167"/>
    </x:row>
    <x:row r="122" ht="32" customHeight="1">
      <x:c r="A122" s="20" t="str">
        <x:v>FUENTE TÉCNICA</x:v>
      </x:c>
      <x:c r="B122" s="20"/>
      <x:c r="C122" s="151" t="e">
        <x:f>HYPERLINK("https://www.galgo.com/mx/motos/MX3265-bajaj-pulsar-f250","https://www.galgo.com/mx/motos/MX3265-bajaj-pulsar-f250")</x:f>
      </x:c>
      <x:c r="D122" s="151"/>
      <x:c r="E122" s="151"/>
      <x:c r="F122" s="151"/>
    </x:row>
    <x:row r="123" ht="58" customHeight="1">
      <x:c r="A123" s="118" t="str">
        <x:v>NOTA DE CONTROL</x:v>
      </x:c>
      <x:c r="B123" s="118"/>
      <x:c r="C123" s="157" t="str">
        <x:v>La página comercial muestra erróneamente 200 cc/18.6 Nm en algunos campos; la F250 corresponde a la plataforma 249 cc.</x:v>
      </x:c>
      <x:c r="D123" s="157"/>
      <x:c r="E123" s="157"/>
      <x:c r="F123" s="157"/>
    </x:row>
    <x:row r="125" ht="28" customHeight="1">
      <x:c r="A125" s="114" t="str">
        <x:v>18. BAJAJ Pulsar NS 400 Z</x:v>
      </x:c>
      <x:c r="B125" s="114"/>
      <x:c r="C125" s="114"/>
      <x:c r="D125" s="114"/>
      <x:c r="E125" s="114"/>
      <x:c r="F125" s="114"/>
    </x:row>
    <x:row r="126" ht="165" customHeight="1">
      <x:c r="A126" s="118" t="str">
        <x:v>FOTOS</x:v>
      </x:c>
      <x:c r="B126" s="121" t="e">
        <x:f>IMAGE("https://images.ctfassets.net/8zlbnewncp6f/2FmKm74RLvilDBdmUu6iny/ae3ee30fe70fb481dd86913423976a48/imagen_principal.jpg?fit=pad&amp;fm=webp&amp;h=1200&amp;q=95&amp;w=1600","Pulsar NS 400 Z foto 1",0)</x:f>
      </x:c>
      <x:c r="C126" s="121" t="e">
        <x:f>IMAGE("https://images.ctfassets.net/8zlbnewncp6f/Z5N28UdsbwqSSgqdEQqTp/cc2de093a47e857937df2de716ea867c/Bajaj_Pulsar_NS_400z_01.jpg?fit=pad&amp;fm=webp&amp;h=1200&amp;q=95&amp;w=1600","Pulsar NS 400 Z foto 2",0)</x:f>
      </x:c>
      <x:c r="D126" s="121" t="e">
        <x:f>IMAGE("https://images.ctfassets.net/8zlbnewncp6f/5zspEsJvQkPYwH2WOYHzD/2f92f14519911ba4deda738a91c106f1/Bajaj_Pulsar_NS_400z_02.jpg?fit=pad&amp;fm=webp&amp;h=1200&amp;q=95&amp;w=1600","Pulsar NS 400 Z foto 3",0)</x:f>
      </x:c>
      <x:c r="E126" s="121" t="e">
        <x:f>IMAGE("https://images.ctfassets.net/8zlbnewncp6f/7sMRbIgNtKdlfz5T9ol0o0/70b5bf999687eeff10076a6a8532a3e1/Bajaj_Pulsar_NS_400z_03.jpg?fit=pad&amp;fm=webp&amp;h=1200&amp;q=95&amp;w=1600","Pulsar NS 400 Z foto 4",0)</x:f>
      </x:c>
      <x:c r="F126" s="135" t="e">
        <x:f>HYPERLINK("https://www.galgo.com/mx/motos/MX2889-bajaj-pulsar-ns-400z","ABRIR FICHA FUENTE")</x:f>
      </x:c>
    </x:row>
    <x:row r="127" ht="38" customHeight="1">
      <x:c r="A127" s="118" t="str">
        <x:v>ENLACES</x:v>
      </x:c>
      <x:c r="B127" s="127" t="e">
        <x:f>HYPERLINK("https://images.ctfassets.net/8zlbnewncp6f/2FmKm74RLvilDBdmUu6iny/ae3ee30fe70fb481dd86913423976a48/imagen_principal.jpg?fit=pad&amp;fm=webp&amp;h=1200&amp;q=95&amp;w=1600","DESCARGAR FOTO 1 EN ALTA")</x:f>
      </x:c>
      <x:c r="C127" s="127" t="e">
        <x:f>HYPERLINK("https://images.ctfassets.net/8zlbnewncp6f/Z5N28UdsbwqSSgqdEQqTp/cc2de093a47e857937df2de716ea867c/Bajaj_Pulsar_NS_400z_01.jpg?fit=pad&amp;fm=webp&amp;h=1200&amp;q=95&amp;w=1600","DESCARGAR FOTO 2 EN ALTA")</x:f>
      </x:c>
      <x:c r="D127" s="127" t="e">
        <x:f>HYPERLINK("https://images.ctfassets.net/8zlbnewncp6f/5zspEsJvQkPYwH2WOYHzD/2f92f14519911ba4deda738a91c106f1/Bajaj_Pulsar_NS_400z_02.jpg?fit=pad&amp;fm=webp&amp;h=1200&amp;q=95&amp;w=1600","DESCARGAR FOTO 3 EN ALTA")</x:f>
      </x:c>
      <x:c r="E127" s="127" t="e">
        <x:f>HYPERLINK("https://images.ctfassets.net/8zlbnewncp6f/7sMRbIgNtKdlfz5T9ol0o0/70b5bf999687eeff10076a6a8532a3e1/Bajaj_Pulsar_NS_400z_03.jpg?fit=pad&amp;fm=webp&amp;h=1200&amp;q=95&amp;w=1600","DESCARGAR FOTO 4 EN ALTA")</x:f>
      </x:c>
      <x:c r="F127" s="142" t="str">
        <x:v>Fuente exacta del modelo</x:v>
      </x:c>
    </x:row>
    <x:row r="128" ht="24" customHeight="1">
      <x:c r="A128" s="20" t="str">
        <x:v>ESTATUS DE REVISIÓN</x:v>
      </x:c>
      <x:c r="B128" s="20"/>
      <x:c r="C128" s="147" t="str">
        <x:v>APROBADA</x:v>
      </x:c>
      <x:c r="D128" s="147"/>
      <x:c r="E128" s="147"/>
      <x:c r="F128" s="147"/>
    </x:row>
    <x:row r="129" ht="32" customHeight="1">
      <x:c r="A129" s="20" t="str">
        <x:v>FUENTE TÉCNICA</x:v>
      </x:c>
      <x:c r="B129" s="20"/>
      <x:c r="C129" s="151" t="e">
        <x:f>HYPERLINK("https://www.motosbajaj.com.mx/product-page/pulsar-ns-400-z","https://www.motosbajaj.com.mx/product-page/pulsar-ns-400-z")</x:f>
      </x:c>
      <x:c r="D129" s="151"/>
      <x:c r="E129" s="151"/>
      <x:c r="F129" s="151"/>
    </x:row>
    <x:row r="130" ht="58" customHeight="1">
      <x:c r="A130" s="118" t="str">
        <x:v>NOTA DE CONTROL</x:v>
      </x:c>
      <x:c r="B130" s="118"/>
      <x:c r="C130" s="157" t="str">
        <x:v>NS400Z estándar. La fuente la muestra con cuatro modos de manejo y conectividad Bluetooth.</x:v>
      </x:c>
      <x:c r="D130" s="157"/>
      <x:c r="E130" s="157"/>
      <x:c r="F130" s="157"/>
    </x:row>
    <x:row r="132" ht="28" customHeight="1">
      <x:c r="A132" s="114" t="str">
        <x:v>19. BAJAJ Pulsar NS 400 UG</x:v>
      </x:c>
      <x:c r="B132" s="114"/>
      <x:c r="C132" s="114"/>
      <x:c r="D132" s="114"/>
      <x:c r="E132" s="114"/>
      <x:c r="F132" s="114"/>
    </x:row>
    <x:row r="133" ht="165" customHeight="1">
      <x:c r="A133" s="118" t="str">
        <x:v>FOTOS</x:v>
      </x:c>
      <x:c r="B133" s="121" t="e">
        <x:f>IMAGE("https://images.ctfassets.net/8zlbnewncp6f/2FmKm74RLvilDBdmUu6iny/ae3ee30fe70fb481dd86913423976a48/imagen_principal.jpg?fit=pad&amp;fm=webp&amp;h=1200&amp;q=95&amp;w=1600","Pulsar NS 400 UG foto 1",0)</x:f>
      </x:c>
      <x:c r="C133" s="121" t="e">
        <x:f>IMAGE("https://images.ctfassets.net/8zlbnewncp6f/Z5N28UdsbwqSSgqdEQqTp/cc2de093a47e857937df2de716ea867c/Bajaj_Pulsar_NS_400z_01.jpg?fit=pad&amp;fm=webp&amp;h=1200&amp;q=95&amp;w=1600","Pulsar NS 400 UG foto 2",0)</x:f>
      </x:c>
      <x:c r="D133" s="121" t="e">
        <x:f>IMAGE("https://images.ctfassets.net/8zlbnewncp6f/5zspEsJvQkPYwH2WOYHzD/2f92f14519911ba4deda738a91c106f1/Bajaj_Pulsar_NS_400z_02.jpg?fit=pad&amp;fm=webp&amp;h=1200&amp;q=95&amp;w=1600","Pulsar NS 400 UG foto 3",0)</x:f>
      </x:c>
      <x:c r="E133" s="121" t="e">
        <x:f>IMAGE("https://images.ctfassets.net/8zlbnewncp6f/7sMRbIgNtKdlfz5T9ol0o0/70b5bf999687eeff10076a6a8532a3e1/Bajaj_Pulsar_NS_400z_03.jpg?fit=pad&amp;fm=webp&amp;h=1200&amp;q=95&amp;w=1600","Pulsar NS 400 UG foto 4",0)</x:f>
      </x:c>
      <x:c r="F133" s="135" t="e">
        <x:f>HYPERLINK("https://www.galgo.com/mx/motos/MX3566-bajaj-pulsar-ns-400z-ug","ABRIR FICHA FUENTE")</x:f>
      </x:c>
    </x:row>
    <x:row r="134" ht="38" customHeight="1">
      <x:c r="A134" s="118" t="str">
        <x:v>ENLACES</x:v>
      </x:c>
      <x:c r="B134" s="127" t="e">
        <x:f>HYPERLINK("https://images.ctfassets.net/8zlbnewncp6f/2FmKm74RLvilDBdmUu6iny/ae3ee30fe70fb481dd86913423976a48/imagen_principal.jpg?fit=pad&amp;fm=webp&amp;h=1200&amp;q=95&amp;w=1600","DESCARGAR FOTO 1 EN ALTA")</x:f>
      </x:c>
      <x:c r="C134" s="127" t="e">
        <x:f>HYPERLINK("https://images.ctfassets.net/8zlbnewncp6f/Z5N28UdsbwqSSgqdEQqTp/cc2de093a47e857937df2de716ea867c/Bajaj_Pulsar_NS_400z_01.jpg?fit=pad&amp;fm=webp&amp;h=1200&amp;q=95&amp;w=1600","DESCARGAR FOTO 2 EN ALTA")</x:f>
      </x:c>
      <x:c r="D134" s="127" t="e">
        <x:f>HYPERLINK("https://images.ctfassets.net/8zlbnewncp6f/5zspEsJvQkPYwH2WOYHzD/2f92f14519911ba4deda738a91c106f1/Bajaj_Pulsar_NS_400z_02.jpg?fit=pad&amp;fm=webp&amp;h=1200&amp;q=95&amp;w=1600","DESCARGAR FOTO 3 EN ALTA")</x:f>
      </x:c>
      <x:c r="E134" s="127" t="e">
        <x:f>HYPERLINK("https://images.ctfassets.net/8zlbnewncp6f/7sMRbIgNtKdlfz5T9ol0o0/70b5bf999687eeff10076a6a8532a3e1/Bajaj_Pulsar_NS_400z_03.jpg?fit=pad&amp;fm=webp&amp;h=1200&amp;q=95&amp;w=1600","DESCARGAR FOTO 4 EN ALTA")</x:f>
      </x:c>
      <x:c r="F134" s="142" t="str">
        <x:v>Fuente exacta del modelo</x:v>
      </x:c>
    </x:row>
    <x:row r="135" ht="24" customHeight="1">
      <x:c r="A135" s="20" t="str">
        <x:v>ESTATUS DE REVISIÓN</x:v>
      </x:c>
      <x:c r="B135" s="20"/>
      <x:c r="C135" s="163" t="str">
        <x:v>REVISAR VERSIÓN</x:v>
      </x:c>
      <x:c r="D135" s="163"/>
      <x:c r="E135" s="163"/>
      <x:c r="F135" s="163"/>
    </x:row>
    <x:row r="136" ht="32" customHeight="1">
      <x:c r="A136" s="20" t="str">
        <x:v>FUENTE TÉCNICA</x:v>
      </x:c>
      <x:c r="B136" s="20"/>
      <x:c r="C136" s="151" t="e">
        <x:f>HYPERLINK("https://www.galgo.com/mx/motos/MX3566-bajaj-pulsar-ns-400z-ug","https://www.galgo.com/mx/motos/MX3566-bajaj-pulsar-ns-400z-ug")</x:f>
      </x:c>
      <x:c r="D136" s="151"/>
      <x:c r="E136" s="151"/>
      <x:c r="F136" s="151"/>
    </x:row>
    <x:row r="137" ht="58" customHeight="1">
      <x:c r="A137" s="118" t="str">
        <x:v>NOTA DE CONTROL</x:v>
      </x:c>
      <x:c r="B137" s="118"/>
      <x:c r="C137" s="157" t="str">
        <x:v>La galería pública del modelo UG reutiliza las mismas imágenes de NS400Z. Confirmar cambios de equipamiento, gráficos y año de la unidad real.</x:v>
      </x:c>
      <x:c r="D137" s="157"/>
      <x:c r="E137" s="157"/>
      <x:c r="F137" s="157"/>
    </x:row>
    <x:row r="139" ht="28" customHeight="1">
      <x:c r="A139" s="114" t="str">
        <x:v>20. BAJAJ Pulsar 200 RS</x:v>
      </x:c>
      <x:c r="B139" s="114"/>
      <x:c r="C139" s="114"/>
      <x:c r="D139" s="114"/>
      <x:c r="E139" s="114"/>
      <x:c r="F139" s="114"/>
    </x:row>
    <x:row r="140" ht="165" customHeight="1">
      <x:c r="A140" s="118" t="str">
        <x:v>FOTOS</x:v>
      </x:c>
      <x:c r="B140" s="121" t="e">
        <x:f>IMAGE("https://images.ctfassets.net/8zlbnewncp6f/3DiG5vbUlzNn2cnYuO6oad/20453f7c5a412ae9ea2aa815a6f8a390/bajaj-pulsar-rs-200-primer-plano.png?fit=pad&amp;fm=webp&amp;h=1200&amp;q=95&amp;w=1600","Pulsar 200 RS foto 1",0)</x:f>
      </x:c>
      <x:c r="C140" s="121" t="e">
        <x:f>IMAGE("https://images.ctfassets.net/8zlbnewncp6f/2Jv1QbhUaS0GJ3LlqSu53O/7637da0d405737743991dc0979b6e188/bajaj-pulsar-rs-200-close-up-faro.jpg?fit=pad&amp;fm=webp&amp;h=1200&amp;q=95&amp;w=1600","Pulsar 200 RS foto 2",0)</x:f>
      </x:c>
      <x:c r="D140" s="121" t="e">
        <x:f>IMAGE("https://images.ctfassets.net/8zlbnewncp6f/5O8xoCzMiAL0xnqwTYElsi/6bc52bf0139991f16e69bd89657b7e3d/bajaj-pulsar-rs-200-close-up-tablero.jpg?fit=pad&amp;fm=webp&amp;h=1200&amp;q=95&amp;w=1600","Pulsar 200 RS foto 3",0)</x:f>
      </x:c>
      <x:c r="E140" s="121" t="e">
        <x:f>IMAGE("https://images.ctfassets.net/8zlbnewncp6f/3q9nZBJhOqRu46qXqKhEuv/9de96c83372a604dc3a295338c6fd470/bajaj-pulsar-rs-200-close-up-motor.jpg?fit=pad&amp;fm=webp&amp;h=1200&amp;q=95&amp;w=1600","Pulsar 200 RS foto 4",0)</x:f>
      </x:c>
      <x:c r="F140" s="135" t="e">
        <x:f>HYPERLINK("https://www.galgo.com/mx/motos/MX1333-bajaj-pulsar-rs-200","ABRIR FICHA FUENTE")</x:f>
      </x:c>
    </x:row>
    <x:row r="141" ht="38" customHeight="1">
      <x:c r="A141" s="118" t="str">
        <x:v>ENLACES</x:v>
      </x:c>
      <x:c r="B141" s="127" t="e">
        <x:f>HYPERLINK("https://images.ctfassets.net/8zlbnewncp6f/3DiG5vbUlzNn2cnYuO6oad/20453f7c5a412ae9ea2aa815a6f8a390/bajaj-pulsar-rs-200-primer-plano.png?fit=pad&amp;fm=webp&amp;h=1200&amp;q=95&amp;w=1600","DESCARGAR FOTO 1 EN ALTA")</x:f>
      </x:c>
      <x:c r="C141" s="127" t="e">
        <x:f>HYPERLINK("https://images.ctfassets.net/8zlbnewncp6f/2Jv1QbhUaS0GJ3LlqSu53O/7637da0d405737743991dc0979b6e188/bajaj-pulsar-rs-200-close-up-faro.jpg?fit=pad&amp;fm=webp&amp;h=1200&amp;q=95&amp;w=1600","DESCARGAR FOTO 2 EN ALTA")</x:f>
      </x:c>
      <x:c r="D141" s="127" t="e">
        <x:f>HYPERLINK("https://images.ctfassets.net/8zlbnewncp6f/5O8xoCzMiAL0xnqwTYElsi/6bc52bf0139991f16e69bd89657b7e3d/bajaj-pulsar-rs-200-close-up-tablero.jpg?fit=pad&amp;fm=webp&amp;h=1200&amp;q=95&amp;w=1600","DESCARGAR FOTO 3 EN ALTA")</x:f>
      </x:c>
      <x:c r="E141" s="127" t="e">
        <x:f>HYPERLINK("https://images.ctfassets.net/8zlbnewncp6f/3q9nZBJhOqRu46qXqKhEuv/9de96c83372a604dc3a295338c6fd470/bajaj-pulsar-rs-200-close-up-motor.jpg?fit=pad&amp;fm=webp&amp;h=1200&amp;q=95&amp;w=1600","DESCARGAR FOTO 4 EN ALTA")</x:f>
      </x:c>
      <x:c r="F141" s="142" t="str">
        <x:v>Fuente exacta del modelo</x:v>
      </x:c>
    </x:row>
    <x:row r="142" ht="24" customHeight="1">
      <x:c r="A142" s="20" t="str">
        <x:v>ESTATUS DE REVISIÓN</x:v>
      </x:c>
      <x:c r="B142" s="20"/>
      <x:c r="C142" s="147" t="str">
        <x:v>APROBADA</x:v>
      </x:c>
      <x:c r="D142" s="147"/>
      <x:c r="E142" s="147"/>
      <x:c r="F142" s="147"/>
    </x:row>
    <x:row r="143" ht="32" customHeight="1">
      <x:c r="A143" s="20" t="str">
        <x:v>FUENTE TÉCNICA</x:v>
      </x:c>
      <x:c r="B143" s="20"/>
      <x:c r="C143" s="151" t="e">
        <x:f>HYPERLINK("https://www.galgo.com/mx/motos/MX1333-bajaj-pulsar-rs-200","https://www.galgo.com/mx/motos/MX1333-bajaj-pulsar-rs-200")</x:f>
      </x:c>
      <x:c r="D143" s="151"/>
      <x:c r="E143" s="151"/>
      <x:c r="F143" s="151"/>
    </x:row>
    <x:row r="144" ht="58" customHeight="1">
      <x:c r="A144" s="118" t="str">
        <x:v>NOTA DE CONTROL</x:v>
      </x:c>
      <x:c r="B144" s="118"/>
      <x:c r="C144" s="157" t="str">
        <x:v>Fotos verificadas de carenado completo RS200, faro, tablero y motor.</x:v>
      </x:c>
      <x:c r="D144" s="157"/>
      <x:c r="E144" s="157"/>
      <x:c r="F144" s="157"/>
    </x:row>
  </x:sheetData>
  <x:mergeCells>
    <x:mergeCell ref="A1:F2"/>
    <x:mergeCell ref="A3:F4"/>
    <x:mergeCell ref="A6:F6"/>
    <x:mergeCell ref="A9:B9"/>
    <x:mergeCell ref="C9:F9"/>
    <x:mergeCell ref="A10:B10"/>
    <x:mergeCell ref="C10:F10"/>
    <x:mergeCell ref="A11:B11"/>
    <x:mergeCell ref="C11:F11"/>
    <x:mergeCell ref="A13:F13"/>
    <x:mergeCell ref="A16:B16"/>
    <x:mergeCell ref="C16:F16"/>
    <x:mergeCell ref="A17:B17"/>
    <x:mergeCell ref="C17:F17"/>
    <x:mergeCell ref="A18:B18"/>
    <x:mergeCell ref="C18:F18"/>
    <x:mergeCell ref="A20:F20"/>
    <x:mergeCell ref="A23:B23"/>
    <x:mergeCell ref="C23:F23"/>
    <x:mergeCell ref="A24:B24"/>
    <x:mergeCell ref="C24:F24"/>
    <x:mergeCell ref="A25:B25"/>
    <x:mergeCell ref="C25:F25"/>
    <x:mergeCell ref="A27:F27"/>
    <x:mergeCell ref="A30:B30"/>
    <x:mergeCell ref="C30:F30"/>
    <x:mergeCell ref="A31:B31"/>
    <x:mergeCell ref="C31:F31"/>
    <x:mergeCell ref="A32:B32"/>
    <x:mergeCell ref="C32:F32"/>
    <x:mergeCell ref="A34:F34"/>
    <x:mergeCell ref="A37:B37"/>
    <x:mergeCell ref="C37:F37"/>
    <x:mergeCell ref="A38:B38"/>
    <x:mergeCell ref="C38:F38"/>
    <x:mergeCell ref="A39:B39"/>
    <x:mergeCell ref="C39:F39"/>
    <x:mergeCell ref="A41:F41"/>
    <x:mergeCell ref="A44:B44"/>
    <x:mergeCell ref="C44:F44"/>
    <x:mergeCell ref="A45:B45"/>
    <x:mergeCell ref="C45:F45"/>
    <x:mergeCell ref="A46:B46"/>
    <x:mergeCell ref="C46:F46"/>
    <x:mergeCell ref="A48:F48"/>
    <x:mergeCell ref="A51:B51"/>
    <x:mergeCell ref="C51:F51"/>
    <x:mergeCell ref="A52:B52"/>
    <x:mergeCell ref="C52:F52"/>
    <x:mergeCell ref="A53:B53"/>
    <x:mergeCell ref="C53:F53"/>
    <x:mergeCell ref="A55:F55"/>
    <x:mergeCell ref="A58:B58"/>
    <x:mergeCell ref="C58:F58"/>
    <x:mergeCell ref="A59:B59"/>
    <x:mergeCell ref="C59:F59"/>
    <x:mergeCell ref="A60:B60"/>
    <x:mergeCell ref="C60:F60"/>
    <x:mergeCell ref="A62:F62"/>
    <x:mergeCell ref="A65:B65"/>
    <x:mergeCell ref="C65:F65"/>
    <x:mergeCell ref="A66:B66"/>
    <x:mergeCell ref="C66:F66"/>
    <x:mergeCell ref="A67:B67"/>
    <x:mergeCell ref="C67:F67"/>
    <x:mergeCell ref="A69:F69"/>
    <x:mergeCell ref="A72:B72"/>
    <x:mergeCell ref="C72:F72"/>
    <x:mergeCell ref="A73:B73"/>
    <x:mergeCell ref="C73:F73"/>
    <x:mergeCell ref="A74:B74"/>
    <x:mergeCell ref="C74:F74"/>
    <x:mergeCell ref="A76:F76"/>
    <x:mergeCell ref="A79:B79"/>
    <x:mergeCell ref="C79:F79"/>
    <x:mergeCell ref="A80:B80"/>
    <x:mergeCell ref="C80:F80"/>
    <x:mergeCell ref="A81:B81"/>
    <x:mergeCell ref="C81:F81"/>
    <x:mergeCell ref="A83:F83"/>
    <x:mergeCell ref="A86:B86"/>
    <x:mergeCell ref="C86:F86"/>
    <x:mergeCell ref="A87:B87"/>
    <x:mergeCell ref="C87:F87"/>
    <x:mergeCell ref="A88:B88"/>
    <x:mergeCell ref="C88:F88"/>
    <x:mergeCell ref="A90:F90"/>
    <x:mergeCell ref="A93:B93"/>
    <x:mergeCell ref="C93:F93"/>
    <x:mergeCell ref="A94:B94"/>
    <x:mergeCell ref="C94:F94"/>
    <x:mergeCell ref="A95:B95"/>
    <x:mergeCell ref="C95:F95"/>
    <x:mergeCell ref="A97:F97"/>
    <x:mergeCell ref="A100:B100"/>
    <x:mergeCell ref="C100:F100"/>
    <x:mergeCell ref="A101:B101"/>
    <x:mergeCell ref="C101:F101"/>
    <x:mergeCell ref="A102:B102"/>
    <x:mergeCell ref="C102:F102"/>
    <x:mergeCell ref="A104:F104"/>
    <x:mergeCell ref="A107:B107"/>
    <x:mergeCell ref="C107:F107"/>
    <x:mergeCell ref="A108:B108"/>
    <x:mergeCell ref="C108:F108"/>
    <x:mergeCell ref="A109:B109"/>
    <x:mergeCell ref="C109:F109"/>
    <x:mergeCell ref="A111:F111"/>
    <x:mergeCell ref="A114:B114"/>
    <x:mergeCell ref="C114:F114"/>
    <x:mergeCell ref="A115:B115"/>
    <x:mergeCell ref="C115:F115"/>
    <x:mergeCell ref="A116:B116"/>
    <x:mergeCell ref="C116:F116"/>
    <x:mergeCell ref="A118:F118"/>
    <x:mergeCell ref="A121:B121"/>
    <x:mergeCell ref="C121:F121"/>
    <x:mergeCell ref="A122:B122"/>
    <x:mergeCell ref="C122:F122"/>
    <x:mergeCell ref="A123:B123"/>
    <x:mergeCell ref="C123:F123"/>
    <x:mergeCell ref="A125:F125"/>
    <x:mergeCell ref="A128:B128"/>
    <x:mergeCell ref="C128:F128"/>
    <x:mergeCell ref="A129:B129"/>
    <x:mergeCell ref="C129:F129"/>
    <x:mergeCell ref="A130:B130"/>
    <x:mergeCell ref="C130:F130"/>
    <x:mergeCell ref="A132:F132"/>
    <x:mergeCell ref="A135:B135"/>
    <x:mergeCell ref="C135:F135"/>
    <x:mergeCell ref="A136:B136"/>
    <x:mergeCell ref="C136:F136"/>
    <x:mergeCell ref="A137:B137"/>
    <x:mergeCell ref="C137:F137"/>
    <x:mergeCell ref="A139:F139"/>
    <x:mergeCell ref="A142:B142"/>
    <x:mergeCell ref="C142:F142"/>
    <x:mergeCell ref="A143:B143"/>
    <x:mergeCell ref="C143:F143"/>
    <x:mergeCell ref="A144:B144"/>
    <x:mergeCell ref="C144:F14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8" hidden="0" customWidth="1"/>
    <x:col min="4" max="4" width="24" hidden="0" customWidth="1"/>
    <x:col min="5" max="5" width="58" hidden="0" customWidth="1"/>
    <x:col min="6" max="6" width="58" hidden="0" customWidth="1"/>
    <x:col min="7" max="7" width="48" hidden="0" customWidth="1"/>
    <x:col min="8" max="8" width="25" hidden="0" customWidth="1"/>
    <x:col min="9" max="9" width="58" hidden="0" customWidth="1"/>
  </x:cols>
  <x:sheetData>
    <x:row r="1" ht="38" customHeight="1">
      <x:c r="A1" s="173" t="str">
        <x:v>No.</x:v>
      </x:c>
      <x:c r="B1" s="173" t="str">
        <x:v>Modelo</x:v>
      </x:c>
      <x:c r="C1" s="173" t="str">
        <x:v>Foto</x:v>
      </x:c>
      <x:c r="D1" s="173" t="str">
        <x:v>Tipo de toma / color</x:v>
      </x:c>
      <x:c r="E1" s="173" t="str">
        <x:v>URL miniatura verificada</x:v>
      </x:c>
      <x:c r="F1" s="173" t="str">
        <x:v>URL alta resolución</x:v>
      </x:c>
      <x:c r="G1" s="173" t="str">
        <x:v>Página exacta del modelo</x:v>
      </x:c>
      <x:c r="H1" s="173" t="str">
        <x:v>Estatus</x:v>
      </x:c>
      <x:c r="I1" s="173" t="str">
        <x:v>Observación</x:v>
      </x:c>
    </x:row>
    <x:row r="2" ht="48" customHeight="1">
      <x:c r="A2" s="86" t="n">
        <x:v>1</x:v>
      </x:c>
      <x:c r="B2" s="86" t="str">
        <x:v>Avenger Cruise 220</x:v>
      </x:c>
      <x:c r="C2" s="86" t="n">
        <x:v>1</x:v>
      </x:c>
      <x:c r="D2" s="86" t="str">
        <x:v>Vista principal / color 1</x:v>
      </x:c>
      <x:c r="E2" s="86" t="str">
        <x:v>https://images.ctfassets.net/8zlbnewncp6f/1lOhw7NHuiwmebq9a9Ihnc/73fc85f769ea62664f50ba64c1b08fb0/Bajaj_Avenger_220_Cruise_Galgo_M_xico.png?fit=pad&amp;fm=webp&amp;h=100&amp;q=95&amp;w=100</x:v>
      </x:c>
      <x:c r="F2" s="86" t="str">
        <x:v>https://images.ctfassets.net/8zlbnewncp6f/1lOhw7NHuiwmebq9a9Ihnc/73fc85f769ea62664f50ba64c1b08fb0/Bajaj_Avenger_220_Cruise_Galgo_M_xico.png?fit=pad&amp;fm=webp&amp;h=1200&amp;q=95&amp;w=1600</x:v>
      </x:c>
      <x:c r="G2" s="86" t="str">
        <x:v>https://www.galgo.com/mx/motos/MX1335-bajaj-avenger-220-cruise</x:v>
      </x:c>
      <x:c r="H2" s="88" t="str">
        <x:v>APROBADA</x:v>
      </x:c>
      <x:c r="I2" s="82" t="str">
        <x:v>Especificaciones principales tomadas de Bajaj México; la capacidad aparece como 13 L en la tabla y 14 L en FAQ oficial.</x:v>
      </x:c>
    </x:row>
    <x:row r="3" ht="48" customHeight="1">
      <x:c r="A3" s="82" t="n">
        <x:v>2</x:v>
      </x:c>
      <x:c r="B3" s="82" t="str">
        <x:v>Avenger Cruise 220</x:v>
      </x:c>
      <x:c r="C3" s="82" t="n">
        <x:v>2</x:v>
      </x:c>
      <x:c r="D3" s="82" t="str">
        <x:v>Vista o color 2</x:v>
      </x:c>
      <x:c r="E3" s="82" t="str">
        <x:v>https://images.ctfassets.net/8zlbnewncp6f/2IPNulaWULipBCLHlPmejY/6091d6cece6c43c4e79132b8432b3232/Moto_Bajaj_Avenger_220_Cruise_2022_Galgo_M_xico_1.jpg?fit=pad&amp;fm=webp&amp;h=100&amp;q=95&amp;w=100</x:v>
      </x:c>
      <x:c r="F3" s="82" t="str">
        <x:v>https://images.ctfassets.net/8zlbnewncp6f/2IPNulaWULipBCLHlPmejY/6091d6cece6c43c4e79132b8432b3232/Moto_Bajaj_Avenger_220_Cruise_2022_Galgo_M_xico_1.jpg?fit=pad&amp;fm=webp&amp;h=1200&amp;q=95&amp;w=1600</x:v>
      </x:c>
      <x:c r="G3" s="82" t="str">
        <x:v>https://www.galgo.com/mx/motos/MX1335-bajaj-avenger-220-cruise</x:v>
      </x:c>
      <x:c r="H3" s="88" t="str">
        <x:v>APROBADA</x:v>
      </x:c>
      <x:c r="I3" s="82" t="str">
        <x:v>Especificaciones principales tomadas de Bajaj México; la capacidad aparece como 13 L en la tabla y 14 L en FAQ oficial.</x:v>
      </x:c>
    </x:row>
    <x:row r="4" ht="48" customHeight="1">
      <x:c r="A4" s="86" t="n">
        <x:v>3</x:v>
      </x:c>
      <x:c r="B4" s="86" t="str">
        <x:v>Avenger Cruise 220</x:v>
      </x:c>
      <x:c r="C4" s="86" t="n">
        <x:v>3</x:v>
      </x:c>
      <x:c r="D4" s="86" t="str">
        <x:v>Vista o color 3</x:v>
      </x:c>
      <x:c r="E4" s="86" t="str">
        <x:v>https://images.ctfassets.net/8zlbnewncp6f/5tJLeiKuHRTu2skAPoO0zK/4205034e51ff5d0f8983b3296a5f40e9/Moto_Bajaj_Avenger_220_Cruise_2022_Galgo_M_xico_2.jpg?fit=pad&amp;fm=webp&amp;h=100&amp;q=95&amp;w=100</x:v>
      </x:c>
      <x:c r="F4" s="86" t="str">
        <x:v>https://images.ctfassets.net/8zlbnewncp6f/5tJLeiKuHRTu2skAPoO0zK/4205034e51ff5d0f8983b3296a5f40e9/Moto_Bajaj_Avenger_220_Cruise_2022_Galgo_M_xico_2.jpg?fit=pad&amp;fm=webp&amp;h=1200&amp;q=95&amp;w=1600</x:v>
      </x:c>
      <x:c r="G4" s="86" t="str">
        <x:v>https://www.galgo.com/mx/motos/MX1335-bajaj-avenger-220-cruise</x:v>
      </x:c>
      <x:c r="H4" s="88" t="str">
        <x:v>APROBADA</x:v>
      </x:c>
      <x:c r="I4" s="82" t="str">
        <x:v>Especificaciones principales tomadas de Bajaj México; la capacidad aparece como 13 L en la tabla y 14 L en FAQ oficial.</x:v>
      </x:c>
    </x:row>
    <x:row r="5" ht="48" customHeight="1">
      <x:c r="A5" s="82" t="n">
        <x:v>4</x:v>
      </x:c>
      <x:c r="B5" s="82" t="str">
        <x:v>Avenger Cruise 220</x:v>
      </x:c>
      <x:c r="C5" s="82" t="n">
        <x:v>4</x:v>
      </x:c>
      <x:c r="D5" s="82" t="str">
        <x:v>Vista o detalle 4</x:v>
      </x:c>
      <x:c r="E5" s="82" t="str">
        <x:v>https://images.ctfassets.net/8zlbnewncp6f/6GqeegRpoRulElp0KaRRc3/edc2c9778ed426efc0e414c3bf225f98/Moto_Bajaj_Avenger_220_Cruise_2022_Galgo_M_xico_3.jpg?fit=pad&amp;fm=webp&amp;h=100&amp;q=95&amp;w=100</x:v>
      </x:c>
      <x:c r="F5" s="82" t="str">
        <x:v>https://images.ctfassets.net/8zlbnewncp6f/6GqeegRpoRulElp0KaRRc3/edc2c9778ed426efc0e414c3bf225f98/Moto_Bajaj_Avenger_220_Cruise_2022_Galgo_M_xico_3.jpg?fit=pad&amp;fm=webp&amp;h=1200&amp;q=95&amp;w=1600</x:v>
      </x:c>
      <x:c r="G5" s="82" t="str">
        <x:v>https://www.galgo.com/mx/motos/MX1335-bajaj-avenger-220-cruise</x:v>
      </x:c>
      <x:c r="H5" s="88" t="str">
        <x:v>APROBADA</x:v>
      </x:c>
      <x:c r="I5" s="82" t="str">
        <x:v>Especificaciones principales tomadas de Bajaj México; la capacidad aparece como 13 L en la tabla y 14 L en FAQ oficial.</x:v>
      </x:c>
    </x:row>
    <x:row r="6" ht="48" customHeight="1">
      <x:c r="A6" s="86" t="n">
        <x:v>5</x:v>
      </x:c>
      <x:c r="B6" s="86" t="str">
        <x:v>Boxer BM 150</x:v>
      </x:c>
      <x:c r="C6" s="86" t="n">
        <x:v>1</x:v>
      </x:c>
      <x:c r="D6" s="86" t="str">
        <x:v>Vista principal / color 1</x:v>
      </x:c>
      <x:c r="E6" s="86" t="str">
        <x:v>https://images.ctfassets.net/8zlbnewncp6f/zlbNnVfDUJiOhVNIu9xAj/6a695756f483b929cf2c49ddea2f7bc5/Bajaj_Boxer_BM_150_Galgo_M__xico_Principal.jpg?fit=pad&amp;fm=webp&amp;h=100&amp;q=95&amp;w=100</x:v>
      </x:c>
      <x:c r="F6" s="86" t="str">
        <x:v>https://images.ctfassets.net/8zlbnewncp6f/zlbNnVfDUJiOhVNIu9xAj/6a695756f483b929cf2c49ddea2f7bc5/Bajaj_Boxer_BM_150_Galgo_M__xico_Principal.jpg?fit=pad&amp;fm=webp&amp;h=1200&amp;q=95&amp;w=1600</x:v>
      </x:c>
      <x:c r="G6" s="86" t="str">
        <x:v>https://www.galgo.com/mx/motos/MX250-bajaj-boxer-bm-150</x:v>
      </x:c>
      <x:c r="H6" s="88" t="str">
        <x:v>APROBADA</x:v>
      </x:c>
      <x:c r="I6" s="82" t="str">
        <x:v>Modelo utilitario. El peso de algunas fichas comerciales es inconsistente; se usa el valor típico de la configuración BM150.</x:v>
      </x:c>
    </x:row>
    <x:row r="7" ht="48" customHeight="1">
      <x:c r="A7" s="82" t="n">
        <x:v>6</x:v>
      </x:c>
      <x:c r="B7" s="82" t="str">
        <x:v>Boxer BM 150</x:v>
      </x:c>
      <x:c r="C7" s="82" t="n">
        <x:v>2</x:v>
      </x:c>
      <x:c r="D7" s="82" t="str">
        <x:v>Vista o color 2</x:v>
      </x:c>
      <x:c r="E7" s="82" t="str">
        <x:v>https://images.ctfassets.net/8zlbnewncp6f/9H1KeWFtBS9VIo9pFBBXV/04f5df150c72c7d6eb09b5f76db7abfd/Bajaj_Boxer_BM_150_Galgo_M__xico_Carrousel_1.jpg?fit=pad&amp;fm=webp&amp;h=100&amp;q=95&amp;w=100</x:v>
      </x:c>
      <x:c r="F7" s="82" t="str">
        <x:v>https://images.ctfassets.net/8zlbnewncp6f/9H1KeWFtBS9VIo9pFBBXV/04f5df150c72c7d6eb09b5f76db7abfd/Bajaj_Boxer_BM_150_Galgo_M__xico_Carrousel_1.jpg?fit=pad&amp;fm=webp&amp;h=1200&amp;q=95&amp;w=1600</x:v>
      </x:c>
      <x:c r="G7" s="82" t="str">
        <x:v>https://www.galgo.com/mx/motos/MX250-bajaj-boxer-bm-150</x:v>
      </x:c>
      <x:c r="H7" s="88" t="str">
        <x:v>APROBADA</x:v>
      </x:c>
      <x:c r="I7" s="82" t="str">
        <x:v>Modelo utilitario. El peso de algunas fichas comerciales es inconsistente; se usa el valor típico de la configuración BM150.</x:v>
      </x:c>
    </x:row>
    <x:row r="8" ht="48" customHeight="1">
      <x:c r="A8" s="86" t="n">
        <x:v>7</x:v>
      </x:c>
      <x:c r="B8" s="86" t="str">
        <x:v>Boxer BM 150</x:v>
      </x:c>
      <x:c r="C8" s="86" t="n">
        <x:v>3</x:v>
      </x:c>
      <x:c r="D8" s="86" t="str">
        <x:v>Vista o color 3</x:v>
      </x:c>
      <x:c r="E8" s="86" t="str">
        <x:v>https://images.ctfassets.net/8zlbnewncp6f/jKSi7yFs6GQBSWsjlJdJZ/4a73990cc6116e965de83322dc46f320/Bajaj_Boxer_BM_150_Galgo_M__xico_Carrousel_2.jpg?fit=pad&amp;fm=webp&amp;h=100&amp;q=95&amp;w=100</x:v>
      </x:c>
      <x:c r="F8" s="86" t="str">
        <x:v>https://images.ctfassets.net/8zlbnewncp6f/jKSi7yFs6GQBSWsjlJdJZ/4a73990cc6116e965de83322dc46f320/Bajaj_Boxer_BM_150_Galgo_M__xico_Carrousel_2.jpg?fit=pad&amp;fm=webp&amp;h=1200&amp;q=95&amp;w=1600</x:v>
      </x:c>
      <x:c r="G8" s="86" t="str">
        <x:v>https://www.galgo.com/mx/motos/MX250-bajaj-boxer-bm-150</x:v>
      </x:c>
      <x:c r="H8" s="88" t="str">
        <x:v>APROBADA</x:v>
      </x:c>
      <x:c r="I8" s="82" t="str">
        <x:v>Modelo utilitario. El peso de algunas fichas comerciales es inconsistente; se usa el valor típico de la configuración BM150.</x:v>
      </x:c>
    </x:row>
    <x:row r="9" ht="48" customHeight="1">
      <x:c r="A9" s="82" t="n">
        <x:v>8</x:v>
      </x:c>
      <x:c r="B9" s="82" t="str">
        <x:v>Boxer BM 150</x:v>
      </x:c>
      <x:c r="C9" s="82" t="n">
        <x:v>4</x:v>
      </x:c>
      <x:c r="D9" s="82" t="str">
        <x:v>Vista o detalle 4</x:v>
      </x:c>
      <x:c r="E9" s="82" t="str">
        <x:v>https://images.ctfassets.net/8zlbnewncp6f/4yajGSHdNxs0OyAlSijjBt/2b827d5d1fa76383894d69c1081f0cc8/Bajaj_Boxer_BM_150_Galgo_M__xico_Carrousel_3.jpg?fit=pad&amp;fm=webp&amp;h=100&amp;q=95&amp;w=100</x:v>
      </x:c>
      <x:c r="F9" s="82" t="str">
        <x:v>https://images.ctfassets.net/8zlbnewncp6f/4yajGSHdNxs0OyAlSijjBt/2b827d5d1fa76383894d69c1081f0cc8/Bajaj_Boxer_BM_150_Galgo_M__xico_Carrousel_3.jpg?fit=pad&amp;fm=webp&amp;h=1200&amp;q=95&amp;w=1600</x:v>
      </x:c>
      <x:c r="G9" s="82" t="str">
        <x:v>https://www.galgo.com/mx/motos/MX250-bajaj-boxer-bm-150</x:v>
      </x:c>
      <x:c r="H9" s="88" t="str">
        <x:v>APROBADA</x:v>
      </x:c>
      <x:c r="I9" s="82" t="str">
        <x:v>Modelo utilitario. El peso de algunas fichas comerciales es inconsistente; se usa el valor típico de la configuración BM150.</x:v>
      </x:c>
    </x:row>
    <x:row r="10" ht="48" customHeight="1">
      <x:c r="A10" s="86" t="n">
        <x:v>9</x:v>
      </x:c>
      <x:c r="B10" s="86" t="str">
        <x:v>Dominar 250 UG</x:v>
      </x:c>
      <x:c r="C10" s="86" t="n">
        <x:v>1</x:v>
      </x:c>
      <x:c r="D10" s="86" t="str">
        <x:v>Vista principal / color 1</x:v>
      </x:c>
      <x:c r="E10" s="86" t="str">
        <x:v>https://images.ctfassets.net/8zlbnewncp6f/CJZUg0WwHaLOwxWZaO8Sq/72f7a205209ae049682b3d2e42b7aae8/00.jpg?fit=pad&amp;fm=webp&amp;h=100&amp;q=95&amp;w=100</x:v>
      </x:c>
      <x:c r="F10" s="86" t="str">
        <x:v>https://images.ctfassets.net/8zlbnewncp6f/CJZUg0WwHaLOwxWZaO8Sq/72f7a205209ae049682b3d2e42b7aae8/00.jpg?fit=pad&amp;fm=webp&amp;h=1200&amp;q=95&amp;w=1600</x:v>
      </x:c>
      <x:c r="G10" s="86" t="str">
        <x:v>https://www.galgo.com/mx/motos/MX246-bajaj-dominar-250-ug</x:v>
      </x:c>
      <x:c r="H10" s="88" t="str">
        <x:v>APROBADA</x:v>
      </x:c>
      <x:c r="I10" s="82" t="str">
        <x:v>UG: versión actualizada. Confirmar color/año disponible antes de publicar inventario.</x:v>
      </x:c>
    </x:row>
    <x:row r="11" ht="48" customHeight="1">
      <x:c r="A11" s="82" t="n">
        <x:v>10</x:v>
      </x:c>
      <x:c r="B11" s="82" t="str">
        <x:v>Dominar 250 UG</x:v>
      </x:c>
      <x:c r="C11" s="82" t="n">
        <x:v>2</x:v>
      </x:c>
      <x:c r="D11" s="82" t="str">
        <x:v>Vista o color 2</x:v>
      </x:c>
      <x:c r="E11" s="82" t="str">
        <x:v>https://images.ctfassets.net/8zlbnewncp6f/2WKRzsqXZd3IbSzEYFqPeY/76265649e1991f82d2ebaa46776b923c/Bajaj_Dominar_250_-_Amarillo_Galgo.png?fit=pad&amp;fm=webp&amp;h=100&amp;q=95&amp;w=100</x:v>
      </x:c>
      <x:c r="F11" s="82" t="str">
        <x:v>https://images.ctfassets.net/8zlbnewncp6f/2WKRzsqXZd3IbSzEYFqPeY/76265649e1991f82d2ebaa46776b923c/Bajaj_Dominar_250_-_Amarillo_Galgo.png?fit=pad&amp;fm=webp&amp;h=1200&amp;q=95&amp;w=1600</x:v>
      </x:c>
      <x:c r="G11" s="82" t="str">
        <x:v>https://www.galgo.com/mx/motos/MX246-bajaj-dominar-250-ug</x:v>
      </x:c>
      <x:c r="H11" s="88" t="str">
        <x:v>APROBADA</x:v>
      </x:c>
      <x:c r="I11" s="82" t="str">
        <x:v>UG: versión actualizada. Confirmar color/año disponible antes de publicar inventario.</x:v>
      </x:c>
    </x:row>
    <x:row r="12" ht="48" customHeight="1">
      <x:c r="A12" s="86" t="n">
        <x:v>11</x:v>
      </x:c>
      <x:c r="B12" s="86" t="str">
        <x:v>Dominar 250 UG</x:v>
      </x:c>
      <x:c r="C12" s="86" t="n">
        <x:v>3</x:v>
      </x:c>
      <x:c r="D12" s="86" t="str">
        <x:v>Vista o color 3</x:v>
      </x:c>
      <x:c r="E12" s="86" t="str">
        <x:v>https://images.ctfassets.net/8zlbnewncp6f/2EsyPJaVSov6OAcOz6Xhkx/f85367802cc1d1140b70d9073b3e2010/Bajaj_Dominar_250_-_Rojo_Galgo.png?fit=pad&amp;fm=webp&amp;h=100&amp;q=95&amp;w=100</x:v>
      </x:c>
      <x:c r="F12" s="86" t="str">
        <x:v>https://images.ctfassets.net/8zlbnewncp6f/2EsyPJaVSov6OAcOz6Xhkx/f85367802cc1d1140b70d9073b3e2010/Bajaj_Dominar_250_-_Rojo_Galgo.png?fit=pad&amp;fm=webp&amp;h=1200&amp;q=95&amp;w=1600</x:v>
      </x:c>
      <x:c r="G12" s="86" t="str">
        <x:v>https://www.galgo.com/mx/motos/MX246-bajaj-dominar-250-ug</x:v>
      </x:c>
      <x:c r="H12" s="88" t="str">
        <x:v>APROBADA</x:v>
      </x:c>
      <x:c r="I12" s="82" t="str">
        <x:v>UG: versión actualizada. Confirmar color/año disponible antes de publicar inventario.</x:v>
      </x:c>
    </x:row>
    <x:row r="13" ht="48" customHeight="1">
      <x:c r="A13" s="82" t="n">
        <x:v>12</x:v>
      </x:c>
      <x:c r="B13" s="82" t="str">
        <x:v>Dominar 250 UG</x:v>
      </x:c>
      <x:c r="C13" s="82" t="n">
        <x:v>4</x:v>
      </x:c>
      <x:c r="D13" s="82" t="str">
        <x:v>Vista o detalle 4</x:v>
      </x:c>
      <x:c r="E13" s="82" t="str">
        <x:v>https://images.ctfassets.net/8zlbnewncp6f/4JHIkUTdHIPwQNkOdM2T5h/025b139967633d735167b01bc7ab694a/Bajaj_Dominar_250_-_Negra_Galgo.png?fit=pad&amp;fm=webp&amp;h=100&amp;q=95&amp;w=100</x:v>
      </x:c>
      <x:c r="F13" s="82" t="str">
        <x:v>https://images.ctfassets.net/8zlbnewncp6f/4JHIkUTdHIPwQNkOdM2T5h/025b139967633d735167b01bc7ab694a/Bajaj_Dominar_250_-_Negra_Galgo.png?fit=pad&amp;fm=webp&amp;h=1200&amp;q=95&amp;w=1600</x:v>
      </x:c>
      <x:c r="G13" s="82" t="str">
        <x:v>https://www.galgo.com/mx/motos/MX246-bajaj-dominar-250-ug</x:v>
      </x:c>
      <x:c r="H13" s="88" t="str">
        <x:v>APROBADA</x:v>
      </x:c>
      <x:c r="I13" s="82" t="str">
        <x:v>UG: versión actualizada. Confirmar color/año disponible antes de publicar inventario.</x:v>
      </x:c>
    </x:row>
    <x:row r="14" ht="48" customHeight="1">
      <x:c r="A14" s="86" t="n">
        <x:v>13</x:v>
      </x:c>
      <x:c r="B14" s="86" t="str">
        <x:v>Dominar 400 TE</x:v>
      </x:c>
      <x:c r="C14" s="86" t="n">
        <x:v>1</x:v>
      </x:c>
      <x:c r="D14" s="86" t="str">
        <x:v>Vista principal / color 1</x:v>
      </x:c>
      <x:c r="E14" s="86" t="str">
        <x:v>https://images.ctfassets.net/8zlbnewncp6f/3POa28ljuzZgmj1axnWi80/98b45f10825a4e1cd8806c223739801c/Bajaj_Dominar_400_UG_Galgo_M%C3%A9xico.png?fit=pad&amp;fm=webp&amp;h=100&amp;q=95&amp;w=100</x:v>
      </x:c>
      <x:c r="F14" s="86" t="str">
        <x:v>https://images.ctfassets.net/8zlbnewncp6f/3POa28ljuzZgmj1axnWi80/98b45f10825a4e1cd8806c223739801c/Bajaj_Dominar_400_UG_Galgo_M%C3%A9xico.png?fit=pad&amp;fm=webp&amp;h=1200&amp;q=95&amp;w=1600</x:v>
      </x:c>
      <x:c r="G14" s="86" t="str">
        <x:v>https://www.galgo.com/mx/motos/MX253-bajaj-dominar-400-te</x:v>
      </x:c>
      <x:c r="H14" s="92" t="str">
        <x:v>REVISAR VERSIÓN</x:v>
      </x:c>
      <x:c r="I14" s="82" t="str">
        <x:v>TE/Touring Edition: la galería del proveedor mezcla nombres de archivo UG/Touring. Verificar que la unidad incluya parabrisas, defensas, cubrepuños y parrilla/soporte touring.</x:v>
      </x:c>
    </x:row>
    <x:row r="15" ht="48" customHeight="1">
      <x:c r="A15" s="82" t="n">
        <x:v>14</x:v>
      </x:c>
      <x:c r="B15" s="82" t="str">
        <x:v>Dominar 400 TE</x:v>
      </x:c>
      <x:c r="C15" s="82" t="n">
        <x:v>2</x:v>
      </x:c>
      <x:c r="D15" s="82" t="str">
        <x:v>Vista o color 2</x:v>
      </x:c>
      <x:c r="E15" s="82" t="str">
        <x:v>https://images.ctfassets.net/8zlbnewncp6f/1Z11KMY2wxerJJYHMTjYuO/3619985923d2d1c20b3681730a798e60/Dominar_400_Galgo_Mexico_Carrousel_1.jpg?fit=pad&amp;fm=webp&amp;h=100&amp;q=95&amp;w=100</x:v>
      </x:c>
      <x:c r="F15" s="82" t="str">
        <x:v>https://images.ctfassets.net/8zlbnewncp6f/1Z11KMY2wxerJJYHMTjYuO/3619985923d2d1c20b3681730a798e60/Dominar_400_Galgo_Mexico_Carrousel_1.jpg?fit=pad&amp;fm=webp&amp;h=1200&amp;q=95&amp;w=1600</x:v>
      </x:c>
      <x:c r="G15" s="82" t="str">
        <x:v>https://www.galgo.com/mx/motos/MX253-bajaj-dominar-400-te</x:v>
      </x:c>
      <x:c r="H15" s="92" t="str">
        <x:v>REVISAR VERSIÓN</x:v>
      </x:c>
      <x:c r="I15" s="82" t="str">
        <x:v>TE/Touring Edition: la galería del proveedor mezcla nombres de archivo UG/Touring. Verificar que la unidad incluya parabrisas, defensas, cubrepuños y parrilla/soporte touring.</x:v>
      </x:c>
    </x:row>
    <x:row r="16" ht="48" customHeight="1">
      <x:c r="A16" s="86" t="n">
        <x:v>15</x:v>
      </x:c>
      <x:c r="B16" s="86" t="str">
        <x:v>Dominar 400 TE</x:v>
      </x:c>
      <x:c r="C16" s="86" t="n">
        <x:v>3</x:v>
      </x:c>
      <x:c r="D16" s="86" t="str">
        <x:v>Vista o color 3</x:v>
      </x:c>
      <x:c r="E16" s="86" t="str">
        <x:v>https://images.ctfassets.net/8zlbnewncp6f/7KkTVIiEm0cqNuNkTIjABh/6fc2eb9bfbbe9fdce67839576fb3da98/Dominar_400_Galgo_Mexico_Carrousel_2.jpg?fit=pad&amp;fm=webp&amp;h=100&amp;q=95&amp;w=100</x:v>
      </x:c>
      <x:c r="F16" s="86" t="str">
        <x:v>https://images.ctfassets.net/8zlbnewncp6f/7KkTVIiEm0cqNuNkTIjABh/6fc2eb9bfbbe9fdce67839576fb3da98/Dominar_400_Galgo_Mexico_Carrousel_2.jpg?fit=pad&amp;fm=webp&amp;h=1200&amp;q=95&amp;w=1600</x:v>
      </x:c>
      <x:c r="G16" s="86" t="str">
        <x:v>https://www.galgo.com/mx/motos/MX253-bajaj-dominar-400-te</x:v>
      </x:c>
      <x:c r="H16" s="92" t="str">
        <x:v>REVISAR VERSIÓN</x:v>
      </x:c>
      <x:c r="I16" s="82" t="str">
        <x:v>TE/Touring Edition: la galería del proveedor mezcla nombres de archivo UG/Touring. Verificar que la unidad incluya parabrisas, defensas, cubrepuños y parrilla/soporte touring.</x:v>
      </x:c>
    </x:row>
    <x:row r="17" ht="48" customHeight="1">
      <x:c r="A17" s="82" t="n">
        <x:v>16</x:v>
      </x:c>
      <x:c r="B17" s="82" t="str">
        <x:v>Dominar 400 TE</x:v>
      </x:c>
      <x:c r="C17" s="82" t="n">
        <x:v>4</x:v>
      </x:c>
      <x:c r="D17" s="82" t="str">
        <x:v>Vista o detalle 4</x:v>
      </x:c>
      <x:c r="E17" s="82" t="str">
        <x:v>https://images.ctfassets.net/8zlbnewncp6f/4Vx15tnnaTjDTM6bMGCKE3/d484a814acaf44459060e7eeacf3a1f0/Bajaj_Dominar_400_Touring_001.jpg?fit=pad&amp;fm=webp&amp;h=100&amp;q=95&amp;w=100</x:v>
      </x:c>
      <x:c r="F17" s="82" t="str">
        <x:v>https://images.ctfassets.net/8zlbnewncp6f/4Vx15tnnaTjDTM6bMGCKE3/d484a814acaf44459060e7eeacf3a1f0/Bajaj_Dominar_400_Touring_001.jpg?fit=pad&amp;fm=webp&amp;h=1200&amp;q=95&amp;w=1600</x:v>
      </x:c>
      <x:c r="G17" s="82" t="str">
        <x:v>https://www.galgo.com/mx/motos/MX253-bajaj-dominar-400-te</x:v>
      </x:c>
      <x:c r="H17" s="92" t="str">
        <x:v>REVISAR VERSIÓN</x:v>
      </x:c>
      <x:c r="I17" s="82" t="str">
        <x:v>TE/Touring Edition: la galería del proveedor mezcla nombres de archivo UG/Touring. Verificar que la unidad incluya parabrisas, defensas, cubrepuños y parrilla/soporte touring.</x:v>
      </x:c>
    </x:row>
    <x:row r="18" ht="48" customHeight="1">
      <x:c r="A18" s="86" t="n">
        <x:v>17</x:v>
      </x:c>
      <x:c r="B18" s="86" t="str">
        <x:v>Dominar 400 UG</x:v>
      </x:c>
      <x:c r="C18" s="86" t="n">
        <x:v>1</x:v>
      </x:c>
      <x:c r="D18" s="86" t="str">
        <x:v>Vista principal / color 1</x:v>
      </x:c>
      <x:c r="E18" s="86" t="str">
        <x:v>https://images.ctfassets.net/8zlbnewncp6f/7gOgd7IxhELCRVvsDNi4Lh/918f6a7325dc74b0f7b15b82b206ad65/imagen_principal.jpg?fit=pad&amp;fm=webp&amp;h=100&amp;q=95&amp;w=100</x:v>
      </x:c>
      <x:c r="F18" s="86" t="str">
        <x:v>https://images.ctfassets.net/8zlbnewncp6f/7gOgd7IxhELCRVvsDNi4Lh/918f6a7325dc74b0f7b15b82b206ad65/imagen_principal.jpg?fit=pad&amp;fm=webp&amp;h=1200&amp;q=95&amp;w=1600</x:v>
      </x:c>
      <x:c r="G18" s="86" t="str">
        <x:v>https://www.galgo.com/mx/motos/MX247-bajaj-dominar-400-ug</x:v>
      </x:c>
      <x:c r="H18" s="92" t="str">
        <x:v>REVISAR VERSIÓN</x:v>
      </x:c>
      <x:c r="I18" s="82" t="str">
        <x:v>La ficha comercial denomina UG pero varias imágenes aparecen etiquetadas Touring. Confirmar accesorios instalados en la unidad real.</x:v>
      </x:c>
    </x:row>
    <x:row r="19" ht="48" customHeight="1">
      <x:c r="A19" s="82" t="n">
        <x:v>18</x:v>
      </x:c>
      <x:c r="B19" s="82" t="str">
        <x:v>Dominar 400 UG</x:v>
      </x:c>
      <x:c r="C19" s="82" t="n">
        <x:v>2</x:v>
      </x:c>
      <x:c r="D19" s="82" t="str">
        <x:v>Vista o color 2</x:v>
      </x:c>
      <x:c r="E19" s="82" t="str">
        <x:v>https://images.ctfassets.net/8zlbnewncp6f/3hwW5s9KVwDe8PL9XZMg9y/557059b7da0854977736f31f1abd5e8c/DOM400-ROJA.jpg?fit=pad&amp;fm=webp&amp;h=100&amp;q=95&amp;w=100</x:v>
      </x:c>
      <x:c r="F19" s="82" t="str">
        <x:v>https://images.ctfassets.net/8zlbnewncp6f/3hwW5s9KVwDe8PL9XZMg9y/557059b7da0854977736f31f1abd5e8c/DOM400-ROJA.jpg?fit=pad&amp;fm=webp&amp;h=1200&amp;q=95&amp;w=1600</x:v>
      </x:c>
      <x:c r="G19" s="82" t="str">
        <x:v>https://www.galgo.com/mx/motos/MX247-bajaj-dominar-400-ug</x:v>
      </x:c>
      <x:c r="H19" s="92" t="str">
        <x:v>REVISAR VERSIÓN</x:v>
      </x:c>
      <x:c r="I19" s="82" t="str">
        <x:v>La ficha comercial denomina UG pero varias imágenes aparecen etiquetadas Touring. Confirmar accesorios instalados en la unidad real.</x:v>
      </x:c>
    </x:row>
    <x:row r="20" ht="48" customHeight="1">
      <x:c r="A20" s="86" t="n">
        <x:v>19</x:v>
      </x:c>
      <x:c r="B20" s="86" t="str">
        <x:v>Dominar 400 UG</x:v>
      </x:c>
      <x:c r="C20" s="86" t="n">
        <x:v>3</x:v>
      </x:c>
      <x:c r="D20" s="86" t="str">
        <x:v>Vista o color 3</x:v>
      </x:c>
      <x:c r="E20" s="86" t="str">
        <x:v>https://images.ctfassets.net/8zlbnewncp6f/2bvTgLJZvsFwRUKAitZ46O/3d835fd5134b05f612a94141881aa16f/imagen_principal__79_.png?fit=pad&amp;fm=webp&amp;h=100&amp;q=95&amp;w=100</x:v>
      </x:c>
      <x:c r="F20" s="86" t="str">
        <x:v>https://images.ctfassets.net/8zlbnewncp6f/2bvTgLJZvsFwRUKAitZ46O/3d835fd5134b05f612a94141881aa16f/imagen_principal__79_.png?fit=pad&amp;fm=webp&amp;h=1200&amp;q=95&amp;w=1600</x:v>
      </x:c>
      <x:c r="G20" s="86" t="str">
        <x:v>https://www.galgo.com/mx/motos/MX247-bajaj-dominar-400-ug</x:v>
      </x:c>
      <x:c r="H20" s="92" t="str">
        <x:v>REVISAR VERSIÓN</x:v>
      </x:c>
      <x:c r="I20" s="82" t="str">
        <x:v>La ficha comercial denomina UG pero varias imágenes aparecen etiquetadas Touring. Confirmar accesorios instalados en la unidad real.</x:v>
      </x:c>
    </x:row>
    <x:row r="21" ht="48" customHeight="1">
      <x:c r="A21" s="82" t="n">
        <x:v>20</x:v>
      </x:c>
      <x:c r="B21" s="82" t="str">
        <x:v>Dominar 400 UG</x:v>
      </x:c>
      <x:c r="C21" s="82" t="n">
        <x:v>4</x:v>
      </x:c>
      <x:c r="D21" s="82" t="str">
        <x:v>Vista o detalle 4</x:v>
      </x:c>
      <x:c r="E21" s="82" t="str">
        <x:v>https://images.ctfassets.net/8zlbnewncp6f/4Vx15tnnaTjDTM6bMGCKE3/d484a814acaf44459060e7eeacf3a1f0/Bajaj_Dominar_400_Touring_001.jpg?fit=pad&amp;fm=webp&amp;h=100&amp;q=95&amp;w=100</x:v>
      </x:c>
      <x:c r="F21" s="82" t="str">
        <x:v>https://images.ctfassets.net/8zlbnewncp6f/4Vx15tnnaTjDTM6bMGCKE3/d484a814acaf44459060e7eeacf3a1f0/Bajaj_Dominar_400_Touring_001.jpg?fit=pad&amp;fm=webp&amp;h=1200&amp;q=95&amp;w=1600</x:v>
      </x:c>
      <x:c r="G21" s="82" t="str">
        <x:v>https://www.galgo.com/mx/motos/MX247-bajaj-dominar-400-ug</x:v>
      </x:c>
      <x:c r="H21" s="92" t="str">
        <x:v>REVISAR VERSIÓN</x:v>
      </x:c>
      <x:c r="I21" s="82" t="str">
        <x:v>La ficha comercial denomina UG pero varias imágenes aparecen etiquetadas Touring. Confirmar accesorios instalados en la unidad real.</x:v>
      </x:c>
    </x:row>
    <x:row r="22" ht="48" customHeight="1">
      <x:c r="A22" s="86" t="n">
        <x:v>21</x:v>
      </x:c>
      <x:c r="B22" s="86" t="str">
        <x:v>Pulsar N 125 FI CBS</x:v>
      </x:c>
      <x:c r="C22" s="86" t="n">
        <x:v>1</x:v>
      </x:c>
      <x:c r="D22" s="86" t="str">
        <x:v>Vista principal / color 1</x:v>
      </x:c>
      <x:c r="E22" s="86" t="str">
        <x:v>https://images.ctfassets.net/8zlbnewncp6f/3ZFcON0QpmSCc2koYYtuHE/12cc8def0c3a4bbfcb93c3e48d0b98c9/imagen_principal.jpg?fit=pad&amp;fm=webp&amp;h=100&amp;q=95&amp;w=100</x:v>
      </x:c>
      <x:c r="F22" s="86" t="str">
        <x:v>https://images.ctfassets.net/8zlbnewncp6f/3ZFcON0QpmSCc2koYYtuHE/12cc8def0c3a4bbfcb93c3e48d0b98c9/imagen_principal.jpg?fit=pad&amp;fm=webp&amp;h=1200&amp;q=95&amp;w=1600</x:v>
      </x:c>
      <x:c r="G22" s="86" t="str">
        <x:v>https://www.galgo.com/mx/motos/MX3098-bajaj-pulsar-n-125</x:v>
      </x:c>
      <x:c r="H22" s="92" t="str">
        <x:v>REVISAR VERSIÓN</x:v>
      </x:c>
      <x:c r="I22" s="82" t="str">
        <x:v>La galería comercial es compartida con N125 carburada y la alimentación no se distingue en tomas exteriores. Validar calcomanía FI/CBS y detalle del motor.</x:v>
      </x:c>
    </x:row>
    <x:row r="23" ht="48" customHeight="1">
      <x:c r="A23" s="82" t="n">
        <x:v>22</x:v>
      </x:c>
      <x:c r="B23" s="82" t="str">
        <x:v>Pulsar N 125 FI CBS</x:v>
      </x:c>
      <x:c r="C23" s="82" t="n">
        <x:v>2</x:v>
      </x:c>
      <x:c r="D23" s="82" t="str">
        <x:v>Vista o color 2</x:v>
      </x:c>
      <x:c r="E23" s="82" t="str">
        <x:v>https://images.ctfassets.net/8zlbnewncp6f/7ADntWPWghGAPbHmHVTo3v/7ff44e7598c0d1862bfeb2a816da7ad3/galeria01.jpg?fit=pad&amp;fm=webp&amp;h=100&amp;q=95&amp;w=100</x:v>
      </x:c>
      <x:c r="F23" s="82" t="str">
        <x:v>https://images.ctfassets.net/8zlbnewncp6f/7ADntWPWghGAPbHmHVTo3v/7ff44e7598c0d1862bfeb2a816da7ad3/galeria01.jpg?fit=pad&amp;fm=webp&amp;h=1200&amp;q=95&amp;w=1600</x:v>
      </x:c>
      <x:c r="G23" s="82" t="str">
        <x:v>https://www.galgo.com/mx/motos/MX3098-bajaj-pulsar-n-125</x:v>
      </x:c>
      <x:c r="H23" s="92" t="str">
        <x:v>REVISAR VERSIÓN</x:v>
      </x:c>
      <x:c r="I23" s="82" t="str">
        <x:v>La galería comercial es compartida con N125 carburada y la alimentación no se distingue en tomas exteriores. Validar calcomanía FI/CBS y detalle del motor.</x:v>
      </x:c>
    </x:row>
    <x:row r="24" ht="48" customHeight="1">
      <x:c r="A24" s="86" t="n">
        <x:v>23</x:v>
      </x:c>
      <x:c r="B24" s="86" t="str">
        <x:v>Pulsar N 125 FI CBS</x:v>
      </x:c>
      <x:c r="C24" s="86" t="n">
        <x:v>3</x:v>
      </x:c>
      <x:c r="D24" s="86" t="str">
        <x:v>Vista o color 3</x:v>
      </x:c>
      <x:c r="E24" s="86" t="str">
        <x:v>https://images.ctfassets.net/8zlbnewncp6f/5zEj9HgdFc4ZQsgJWobtzi/3efb1a67e64b7f27e2a37bea2a1e6e95/galeria02.jpg?fit=pad&amp;fm=webp&amp;h=100&amp;q=95&amp;w=100</x:v>
      </x:c>
      <x:c r="F24" s="86" t="str">
        <x:v>https://images.ctfassets.net/8zlbnewncp6f/5zEj9HgdFc4ZQsgJWobtzi/3efb1a67e64b7f27e2a37bea2a1e6e95/galeria02.jpg?fit=pad&amp;fm=webp&amp;h=1200&amp;q=95&amp;w=1600</x:v>
      </x:c>
      <x:c r="G24" s="86" t="str">
        <x:v>https://www.galgo.com/mx/motos/MX3098-bajaj-pulsar-n-125</x:v>
      </x:c>
      <x:c r="H24" s="92" t="str">
        <x:v>REVISAR VERSIÓN</x:v>
      </x:c>
      <x:c r="I24" s="82" t="str">
        <x:v>La galería comercial es compartida con N125 carburada y la alimentación no se distingue en tomas exteriores. Validar calcomanía FI/CBS y detalle del motor.</x:v>
      </x:c>
    </x:row>
    <x:row r="25" ht="48" customHeight="1">
      <x:c r="A25" s="82" t="n">
        <x:v>24</x:v>
      </x:c>
      <x:c r="B25" s="82" t="str">
        <x:v>Pulsar N 125 FI CBS</x:v>
      </x:c>
      <x:c r="C25" s="82" t="n">
        <x:v>4</x:v>
      </x:c>
      <x:c r="D25" s="82" t="str">
        <x:v>Vista o detalle 4</x:v>
      </x:c>
      <x:c r="E25" s="82" t="str">
        <x:v>https://images.ctfassets.net/8zlbnewncp6f/2Cskvamxp6hOgpYSrG8pK4/8b3ea64ad9d61919394b8bf873698a5c/galeria03.jpg?fit=pad&amp;fm=webp&amp;h=100&amp;q=95&amp;w=100</x:v>
      </x:c>
      <x:c r="F25" s="82" t="str">
        <x:v>https://images.ctfassets.net/8zlbnewncp6f/2Cskvamxp6hOgpYSrG8pK4/8b3ea64ad9d61919394b8bf873698a5c/galeria03.jpg?fit=pad&amp;fm=webp&amp;h=1200&amp;q=95&amp;w=1600</x:v>
      </x:c>
      <x:c r="G25" s="82" t="str">
        <x:v>https://www.galgo.com/mx/motos/MX3098-bajaj-pulsar-n-125</x:v>
      </x:c>
      <x:c r="H25" s="92" t="str">
        <x:v>REVISAR VERSIÓN</x:v>
      </x:c>
      <x:c r="I25" s="82" t="str">
        <x:v>La galería comercial es compartida con N125 carburada y la alimentación no se distingue en tomas exteriores. Validar calcomanía FI/CBS y detalle del motor.</x:v>
      </x:c>
    </x:row>
    <x:row r="26" ht="48" customHeight="1">
      <x:c r="A26" s="86" t="n">
        <x:v>25</x:v>
      </x:c>
      <x:c r="B26" s="86" t="str">
        <x:v>Pulsar N 125 Car</x:v>
      </x:c>
      <x:c r="C26" s="86" t="n">
        <x:v>1</x:v>
      </x:c>
      <x:c r="D26" s="86" t="str">
        <x:v>Vista principal / color 1</x:v>
      </x:c>
      <x:c r="E26" s="86" t="str">
        <x:v>https://images.ctfassets.net/8zlbnewncp6f/3ZFcON0QpmSCc2koYYtuHE/12cc8def0c3a4bbfcb93c3e48d0b98c9/imagen_principal.jpg?fit=pad&amp;fm=webp&amp;h=100&amp;q=95&amp;w=100</x:v>
      </x:c>
      <x:c r="F26" s="86" t="str">
        <x:v>https://images.ctfassets.net/8zlbnewncp6f/3ZFcON0QpmSCc2koYYtuHE/12cc8def0c3a4bbfcb93c3e48d0b98c9/imagen_principal.jpg?fit=pad&amp;fm=webp&amp;h=1200&amp;q=95&amp;w=1600</x:v>
      </x:c>
      <x:c r="G26" s="86" t="str">
        <x:v>https://www.galgo.com/mx/motos/MX3506-bajaj-pulsar-n-125-carburada</x:v>
      </x:c>
      <x:c r="H26" s="92" t="str">
        <x:v>REVISAR VERSIÓN</x:v>
      </x:c>
      <x:c r="I26" s="82" t="str">
        <x:v>La galería comercial es compartida con N125 FI. Confirmar carburador, calcomanías y versión antes de cargar como foto principal.</x:v>
      </x:c>
    </x:row>
    <x:row r="27" ht="48" customHeight="1">
      <x:c r="A27" s="82" t="n">
        <x:v>26</x:v>
      </x:c>
      <x:c r="B27" s="82" t="str">
        <x:v>Pulsar N 125 Car</x:v>
      </x:c>
      <x:c r="C27" s="82" t="n">
        <x:v>2</x:v>
      </x:c>
      <x:c r="D27" s="82" t="str">
        <x:v>Vista o color 2</x:v>
      </x:c>
      <x:c r="E27" s="82" t="str">
        <x:v>https://images.ctfassets.net/8zlbnewncp6f/7ADntWPWghGAPbHmHVTo3v/7ff44e7598c0d1862bfeb2a816da7ad3/galeria01.jpg?fit=pad&amp;fm=webp&amp;h=100&amp;q=95&amp;w=100</x:v>
      </x:c>
      <x:c r="F27" s="82" t="str">
        <x:v>https://images.ctfassets.net/8zlbnewncp6f/7ADntWPWghGAPbHmHVTo3v/7ff44e7598c0d1862bfeb2a816da7ad3/galeria01.jpg?fit=pad&amp;fm=webp&amp;h=1200&amp;q=95&amp;w=1600</x:v>
      </x:c>
      <x:c r="G27" s="82" t="str">
        <x:v>https://www.galgo.com/mx/motos/MX3506-bajaj-pulsar-n-125-carburada</x:v>
      </x:c>
      <x:c r="H27" s="92" t="str">
        <x:v>REVISAR VERSIÓN</x:v>
      </x:c>
      <x:c r="I27" s="82" t="str">
        <x:v>La galería comercial es compartida con N125 FI. Confirmar carburador, calcomanías y versión antes de cargar como foto principal.</x:v>
      </x:c>
    </x:row>
    <x:row r="28" ht="48" customHeight="1">
      <x:c r="A28" s="86" t="n">
        <x:v>27</x:v>
      </x:c>
      <x:c r="B28" s="86" t="str">
        <x:v>Pulsar N 125 Car</x:v>
      </x:c>
      <x:c r="C28" s="86" t="n">
        <x:v>3</x:v>
      </x:c>
      <x:c r="D28" s="86" t="str">
        <x:v>Vista o color 3</x:v>
      </x:c>
      <x:c r="E28" s="86" t="str">
        <x:v>https://images.ctfassets.net/8zlbnewncp6f/5zEj9HgdFc4ZQsgJWobtzi/3efb1a67e64b7f27e2a37bea2a1e6e95/galeria02.jpg?fit=pad&amp;fm=webp&amp;h=100&amp;q=95&amp;w=100</x:v>
      </x:c>
      <x:c r="F28" s="86" t="str">
        <x:v>https://images.ctfassets.net/8zlbnewncp6f/5zEj9HgdFc4ZQsgJWobtzi/3efb1a67e64b7f27e2a37bea2a1e6e95/galeria02.jpg?fit=pad&amp;fm=webp&amp;h=1200&amp;q=95&amp;w=1600</x:v>
      </x:c>
      <x:c r="G28" s="86" t="str">
        <x:v>https://www.galgo.com/mx/motos/MX3506-bajaj-pulsar-n-125-carburada</x:v>
      </x:c>
      <x:c r="H28" s="92" t="str">
        <x:v>REVISAR VERSIÓN</x:v>
      </x:c>
      <x:c r="I28" s="82" t="str">
        <x:v>La galería comercial es compartida con N125 FI. Confirmar carburador, calcomanías y versión antes de cargar como foto principal.</x:v>
      </x:c>
    </x:row>
    <x:row r="29" ht="48" customHeight="1">
      <x:c r="A29" s="82" t="n">
        <x:v>28</x:v>
      </x:c>
      <x:c r="B29" s="82" t="str">
        <x:v>Pulsar N 125 Car</x:v>
      </x:c>
      <x:c r="C29" s="82" t="n">
        <x:v>4</x:v>
      </x:c>
      <x:c r="D29" s="82" t="str">
        <x:v>Vista o detalle 4</x:v>
      </x:c>
      <x:c r="E29" s="82" t="str">
        <x:v>https://images.ctfassets.net/8zlbnewncp6f/2Cskvamxp6hOgpYSrG8pK4/8b3ea64ad9d61919394b8bf873698a5c/galeria03.jpg?fit=pad&amp;fm=webp&amp;h=100&amp;q=95&amp;w=100</x:v>
      </x:c>
      <x:c r="F29" s="82" t="str">
        <x:v>https://images.ctfassets.net/8zlbnewncp6f/2Cskvamxp6hOgpYSrG8pK4/8b3ea64ad9d61919394b8bf873698a5c/galeria03.jpg?fit=pad&amp;fm=webp&amp;h=1200&amp;q=95&amp;w=1600</x:v>
      </x:c>
      <x:c r="G29" s="82" t="str">
        <x:v>https://www.galgo.com/mx/motos/MX3506-bajaj-pulsar-n-125-carburada</x:v>
      </x:c>
      <x:c r="H29" s="92" t="str">
        <x:v>REVISAR VERSIÓN</x:v>
      </x:c>
      <x:c r="I29" s="82" t="str">
        <x:v>La galería comercial es compartida con N125 FI. Confirmar carburador, calcomanías y versión antes de cargar como foto principal.</x:v>
      </x:c>
    </x:row>
    <x:row r="30" ht="48" customHeight="1">
      <x:c r="A30" s="86" t="n">
        <x:v>29</x:v>
      </x:c>
      <x:c r="B30" s="86" t="str">
        <x:v>Pulsar NS 125 UG</x:v>
      </x:c>
      <x:c r="C30" s="86" t="n">
        <x:v>1</x:v>
      </x:c>
      <x:c r="D30" s="86" t="str">
        <x:v>Vista principal / color 1</x:v>
      </x:c>
      <x:c r="E30" s="86" t="str">
        <x:v>https://images.ctfassets.net/8zlbnewncp6f/6PcgCRDs4NkjzV2tCweDbG/cbae515f23432f856b4eba5da384dfa2/Bajaj_Pulsar_NS_125_UG_Imagen_principal2_Galgo_M%C3%A9xico.png?fit=pad&amp;fm=webp&amp;h=100&amp;q=95&amp;w=100</x:v>
      </x:c>
      <x:c r="F30" s="86" t="str">
        <x:v>https://images.ctfassets.net/8zlbnewncp6f/6PcgCRDs4NkjzV2tCweDbG/cbae515f23432f856b4eba5da384dfa2/Bajaj_Pulsar_NS_125_UG_Imagen_principal2_Galgo_M%C3%A9xico.png?fit=pad&amp;fm=webp&amp;h=1200&amp;q=95&amp;w=1600</x:v>
      </x:c>
      <x:c r="G30" s="86" t="str">
        <x:v>https://www.galgo.com/mx/motos/MX1512-bajaj-pulsar-ns-125-ug</x:v>
      </x:c>
      <x:c r="H30" s="88" t="str">
        <x:v>APROBADA</x:v>
      </x:c>
      <x:c r="I30" s="82" t="str">
        <x:v>Las cuatro fotos corresponden a la carrocería NS125 UG y muestran colores distintos.</x:v>
      </x:c>
    </x:row>
    <x:row r="31" ht="48" customHeight="1">
      <x:c r="A31" s="82" t="n">
        <x:v>30</x:v>
      </x:c>
      <x:c r="B31" s="82" t="str">
        <x:v>Pulsar NS 125 UG</x:v>
      </x:c>
      <x:c r="C31" s="82" t="n">
        <x:v>2</x:v>
      </x:c>
      <x:c r="D31" s="82" t="str">
        <x:v>Vista o color 2</x:v>
      </x:c>
      <x:c r="E31" s="82" t="str">
        <x:v>https://images.ctfassets.net/8zlbnewncp6f/33yzt3nvg663JfLE9j8fks/2f40fc6e47535450d310ed596dce422f/Bajaj_Pulsar_NS_125_UG_Imagen_principal_Galgo_M%C3%A9xico.png?fit=pad&amp;fm=webp&amp;h=100&amp;q=95&amp;w=100</x:v>
      </x:c>
      <x:c r="F31" s="82" t="str">
        <x:v>https://images.ctfassets.net/8zlbnewncp6f/33yzt3nvg663JfLE9j8fks/2f40fc6e47535450d310ed596dce422f/Bajaj_Pulsar_NS_125_UG_Imagen_principal_Galgo_M%C3%A9xico.png?fit=pad&amp;fm=webp&amp;h=1200&amp;q=95&amp;w=1600</x:v>
      </x:c>
      <x:c r="G31" s="82" t="str">
        <x:v>https://www.galgo.com/mx/motos/MX1512-bajaj-pulsar-ns-125-ug</x:v>
      </x:c>
      <x:c r="H31" s="88" t="str">
        <x:v>APROBADA</x:v>
      </x:c>
      <x:c r="I31" s="82" t="str">
        <x:v>Las cuatro fotos corresponden a la carrocería NS125 UG y muestran colores distintos.</x:v>
      </x:c>
    </x:row>
    <x:row r="32" ht="48" customHeight="1">
      <x:c r="A32" s="86" t="n">
        <x:v>31</x:v>
      </x:c>
      <x:c r="B32" s="86" t="str">
        <x:v>Pulsar NS 125 UG</x:v>
      </x:c>
      <x:c r="C32" s="86" t="n">
        <x:v>3</x:v>
      </x:c>
      <x:c r="D32" s="86" t="str">
        <x:v>Vista o color 3</x:v>
      </x:c>
      <x:c r="E32" s="86" t="str">
        <x:v>https://images.ctfassets.net/8zlbnewncp6f/2zzIVVRu5elZNduxiQwlcb/16bde9efa05cf324fc245a88dc33975e/Bajaj_Pulsar_NS_125_UG_Imagen_principal3_Galgo_M%C3%A9xico.png?fit=pad&amp;fm=webp&amp;h=100&amp;q=95&amp;w=100</x:v>
      </x:c>
      <x:c r="F32" s="86" t="str">
        <x:v>https://images.ctfassets.net/8zlbnewncp6f/2zzIVVRu5elZNduxiQwlcb/16bde9efa05cf324fc245a88dc33975e/Bajaj_Pulsar_NS_125_UG_Imagen_principal3_Galgo_M%C3%A9xico.png?fit=pad&amp;fm=webp&amp;h=1200&amp;q=95&amp;w=1600</x:v>
      </x:c>
      <x:c r="G32" s="86" t="str">
        <x:v>https://www.galgo.com/mx/motos/MX1512-bajaj-pulsar-ns-125-ug</x:v>
      </x:c>
      <x:c r="H32" s="88" t="str">
        <x:v>APROBADA</x:v>
      </x:c>
      <x:c r="I32" s="82" t="str">
        <x:v>Las cuatro fotos corresponden a la carrocería NS125 UG y muestran colores distintos.</x:v>
      </x:c>
    </x:row>
    <x:row r="33" ht="48" customHeight="1">
      <x:c r="A33" s="82" t="n">
        <x:v>32</x:v>
      </x:c>
      <x:c r="B33" s="82" t="str">
        <x:v>Pulsar NS 125 UG</x:v>
      </x:c>
      <x:c r="C33" s="82" t="n">
        <x:v>4</x:v>
      </x:c>
      <x:c r="D33" s="82" t="str">
        <x:v>Vista o detalle 4</x:v>
      </x:c>
      <x:c r="E33" s="82" t="str">
        <x:v>https://images.ctfassets.net/8zlbnewncp6f/6zli7lPql404aOOiXkKi8t/cc2073ca0e1d872ab6e4a8d7ed1e4a46/Bajaj_Pulsar_NS_125_UG_Galeria2_Galgo_M%C3%A9xico.png?fit=pad&amp;fm=webp&amp;h=100&amp;q=95&amp;w=100</x:v>
      </x:c>
      <x:c r="F33" s="82" t="str">
        <x:v>https://images.ctfassets.net/8zlbnewncp6f/6zli7lPql404aOOiXkKi8t/cc2073ca0e1d872ab6e4a8d7ed1e4a46/Bajaj_Pulsar_NS_125_UG_Galeria2_Galgo_M%C3%A9xico.png?fit=pad&amp;fm=webp&amp;h=1200&amp;q=95&amp;w=1600</x:v>
      </x:c>
      <x:c r="G33" s="82" t="str">
        <x:v>https://www.galgo.com/mx/motos/MX1512-bajaj-pulsar-ns-125-ug</x:v>
      </x:c>
      <x:c r="H33" s="88" t="str">
        <x:v>APROBADA</x:v>
      </x:c>
      <x:c r="I33" s="82" t="str">
        <x:v>Las cuatro fotos corresponden a la carrocería NS125 UG y muestran colores distintos.</x:v>
      </x:c>
    </x:row>
    <x:row r="34" ht="48" customHeight="1">
      <x:c r="A34" s="86" t="n">
        <x:v>33</x:v>
      </x:c>
      <x:c r="B34" s="86" t="str">
        <x:v>Pulsar N 160</x:v>
      </x:c>
      <x:c r="C34" s="86" t="n">
        <x:v>1</x:v>
      </x:c>
      <x:c r="D34" s="86" t="str">
        <x:v>Vista principal / color 1</x:v>
      </x:c>
      <x:c r="E34" s="86" t="str">
        <x:v>https://images.ctfassets.net/8zlbnewncp6f/Bnojn2wxWVc2qWx96qWLm/630f174fadac572ee64707af3ee69d05/Moto_Bajaj_Pulsar_N_160_Galgo_M%C3%A9xico.png?fit=pad&amp;fm=webp&amp;h=100&amp;q=95&amp;w=100</x:v>
      </x:c>
      <x:c r="F34" s="86" t="str">
        <x:v>https://images.ctfassets.net/8zlbnewncp6f/Bnojn2wxWVc2qWx96qWLm/630f174fadac572ee64707af3ee69d05/Moto_Bajaj_Pulsar_N_160_Galgo_M%C3%A9xico.png?fit=pad&amp;fm=webp&amp;h=1200&amp;q=95&amp;w=1600</x:v>
      </x:c>
      <x:c r="G34" s="86" t="str">
        <x:v>https://www.galgo.com/mx/motos/MX451-bajaj-pulsar-n-160</x:v>
      </x:c>
      <x:c r="H34" s="88" t="str">
        <x:v>APROBADA</x:v>
      </x:c>
      <x:c r="I34" s="82" t="str">
        <x:v>Versión base sin la denominación FI + ABS. No mezclar con las fotos Premium de barras invertidas.</x:v>
      </x:c>
    </x:row>
    <x:row r="35" ht="48" customHeight="1">
      <x:c r="A35" s="82" t="n">
        <x:v>34</x:v>
      </x:c>
      <x:c r="B35" s="82" t="str">
        <x:v>Pulsar N 160</x:v>
      </x:c>
      <x:c r="C35" s="82" t="n">
        <x:v>2</x:v>
      </x:c>
      <x:c r="D35" s="82" t="str">
        <x:v>Vista o color 2</x:v>
      </x:c>
      <x:c r="E35" s="82" t="str">
        <x:v>https://images.ctfassets.net/8zlbnewncp6f/5Pvep5iOTWaz6qK713KUAB/b4954d29f5f842e792845c549335da86/Bajaj_Pulsar_N_160_Galeria1_Galgo_.png?fit=pad&amp;fm=webp&amp;h=100&amp;q=95&amp;w=100</x:v>
      </x:c>
      <x:c r="F35" s="82" t="str">
        <x:v>https://images.ctfassets.net/8zlbnewncp6f/5Pvep5iOTWaz6qK713KUAB/b4954d29f5f842e792845c549335da86/Bajaj_Pulsar_N_160_Galeria1_Galgo_.png?fit=pad&amp;fm=webp&amp;h=1200&amp;q=95&amp;w=1600</x:v>
      </x:c>
      <x:c r="G35" s="82" t="str">
        <x:v>https://www.galgo.com/mx/motos/MX451-bajaj-pulsar-n-160</x:v>
      </x:c>
      <x:c r="H35" s="88" t="str">
        <x:v>APROBADA</x:v>
      </x:c>
      <x:c r="I35" s="82" t="str">
        <x:v>Versión base sin la denominación FI + ABS. No mezclar con las fotos Premium de barras invertidas.</x:v>
      </x:c>
    </x:row>
    <x:row r="36" ht="48" customHeight="1">
      <x:c r="A36" s="86" t="n">
        <x:v>35</x:v>
      </x:c>
      <x:c r="B36" s="86" t="str">
        <x:v>Pulsar N 160</x:v>
      </x:c>
      <x:c r="C36" s="86" t="n">
        <x:v>3</x:v>
      </x:c>
      <x:c r="D36" s="86" t="str">
        <x:v>Vista o color 3</x:v>
      </x:c>
      <x:c r="E36" s="86" t="str">
        <x:v>https://images.ctfassets.net/8zlbnewncp6f/35OPjiAqE6YN1uVqZmTOOC/9f40cd553bbc4f9c62a966b67cbc9040/Bajaj_Pulsar_N_160_Galeria2_Galgo_.png?fit=pad&amp;fm=webp&amp;h=100&amp;q=95&amp;w=100</x:v>
      </x:c>
      <x:c r="F36" s="86" t="str">
        <x:v>https://images.ctfassets.net/8zlbnewncp6f/35OPjiAqE6YN1uVqZmTOOC/9f40cd553bbc4f9c62a966b67cbc9040/Bajaj_Pulsar_N_160_Galeria2_Galgo_.png?fit=pad&amp;fm=webp&amp;h=1200&amp;q=95&amp;w=1600</x:v>
      </x:c>
      <x:c r="G36" s="86" t="str">
        <x:v>https://www.galgo.com/mx/motos/MX451-bajaj-pulsar-n-160</x:v>
      </x:c>
      <x:c r="H36" s="88" t="str">
        <x:v>APROBADA</x:v>
      </x:c>
      <x:c r="I36" s="82" t="str">
        <x:v>Versión base sin la denominación FI + ABS. No mezclar con las fotos Premium de barras invertidas.</x:v>
      </x:c>
    </x:row>
    <x:row r="37" ht="48" customHeight="1">
      <x:c r="A37" s="82" t="n">
        <x:v>36</x:v>
      </x:c>
      <x:c r="B37" s="82" t="str">
        <x:v>Pulsar N 160</x:v>
      </x:c>
      <x:c r="C37" s="82" t="n">
        <x:v>4</x:v>
      </x:c>
      <x:c r="D37" s="82" t="str">
        <x:v>Vista o detalle 4</x:v>
      </x:c>
      <x:c r="E37" s="82" t="str">
        <x:v>https://images.ctfassets.net/8zlbnewncp6f/6BkAbJZS9IrzkEx9THpE1r/f305b5b5bf167a966d7d911a8cfb0d4e/Bajaj_Pulsar_N_160_Galeria3_Galgo_.png?fit=pad&amp;fm=webp&amp;h=100&amp;q=95&amp;w=100</x:v>
      </x:c>
      <x:c r="F37" s="82" t="str">
        <x:v>https://images.ctfassets.net/8zlbnewncp6f/6BkAbJZS9IrzkEx9THpE1r/f305b5b5bf167a966d7d911a8cfb0d4e/Bajaj_Pulsar_N_160_Galeria3_Galgo_.png?fit=pad&amp;fm=webp&amp;h=1200&amp;q=95&amp;w=1600</x:v>
      </x:c>
      <x:c r="G37" s="82" t="str">
        <x:v>https://www.galgo.com/mx/motos/MX451-bajaj-pulsar-n-160</x:v>
      </x:c>
      <x:c r="H37" s="88" t="str">
        <x:v>APROBADA</x:v>
      </x:c>
      <x:c r="I37" s="82" t="str">
        <x:v>Versión base sin la denominación FI + ABS. No mezclar con las fotos Premium de barras invertidas.</x:v>
      </x:c>
    </x:row>
    <x:row r="38" ht="48" customHeight="1">
      <x:c r="A38" s="86" t="n">
        <x:v>37</x:v>
      </x:c>
      <x:c r="B38" s="86" t="str">
        <x:v>Pulsar NS 160</x:v>
      </x:c>
      <x:c r="C38" s="86" t="n">
        <x:v>1</x:v>
      </x:c>
      <x:c r="D38" s="86" t="str">
        <x:v>Vista principal / color 1</x:v>
      </x:c>
      <x:c r="E38" s="86" t="str">
        <x:v>https://images.ctfassets.net/8zlbnewncp6f/5QeSMp1USvAGiUM7NzgTeR/af6d65725c22916eeb4f084841be6f39/Bajaj_Pulsar_160_NS_TD_ABS_UG_Galgo_Per_.png?fit=pad&amp;fm=webp&amp;h=100&amp;q=95&amp;w=100</x:v>
      </x:c>
      <x:c r="F38" s="86" t="str">
        <x:v>https://images.ctfassets.net/8zlbnewncp6f/5QeSMp1USvAGiUM7NzgTeR/af6d65725c22916eeb4f084841be6f39/Bajaj_Pulsar_160_NS_TD_ABS_UG_Galgo_Per_.png?fit=pad&amp;fm=webp&amp;h=1200&amp;q=95&amp;w=1600</x:v>
      </x:c>
      <x:c r="G38" s="86" t="str">
        <x:v>https://www.galgo.com/mx/motos/MX3262-bajaj-pulsar-ns-160</x:v>
      </x:c>
      <x:c r="H38" s="88" t="str">
        <x:v>APROBADA</x:v>
      </x:c>
      <x:c r="I38" s="82" t="str">
        <x:v>Las fotos corresponden a la línea NS160; verificar gráfico/colores del año comercial.</x:v>
      </x:c>
    </x:row>
    <x:row r="39" ht="48" customHeight="1">
      <x:c r="A39" s="82" t="n">
        <x:v>38</x:v>
      </x:c>
      <x:c r="B39" s="82" t="str">
        <x:v>Pulsar NS 160</x:v>
      </x:c>
      <x:c r="C39" s="82" t="n">
        <x:v>2</x:v>
      </x:c>
      <x:c r="D39" s="82" t="str">
        <x:v>Vista o color 2</x:v>
      </x:c>
      <x:c r="E39" s="82" t="str">
        <x:v>https://images.ctfassets.net/8zlbnewncp6f/1mTD09VM522r28MIdVjDqj/4d5243a9d4543f15022c9fd397bbb96e/bajaj-pulsar-160-ns-fi-ug-plano-lateral.png?fit=pad&amp;fm=webp&amp;h=100&amp;q=95&amp;w=100</x:v>
      </x:c>
      <x:c r="F39" s="82" t="str">
        <x:v>https://images.ctfassets.net/8zlbnewncp6f/1mTD09VM522r28MIdVjDqj/4d5243a9d4543f15022c9fd397bbb96e/bajaj-pulsar-160-ns-fi-ug-plano-lateral.png?fit=pad&amp;fm=webp&amp;h=1200&amp;q=95&amp;w=1600</x:v>
      </x:c>
      <x:c r="G39" s="82" t="str">
        <x:v>https://www.galgo.com/mx/motos/MX3262-bajaj-pulsar-ns-160</x:v>
      </x:c>
      <x:c r="H39" s="88" t="str">
        <x:v>APROBADA</x:v>
      </x:c>
      <x:c r="I39" s="82" t="str">
        <x:v>Las fotos corresponden a la línea NS160; verificar gráfico/colores del año comercial.</x:v>
      </x:c>
    </x:row>
    <x:row r="40" ht="48" customHeight="1">
      <x:c r="A40" s="86" t="n">
        <x:v>39</x:v>
      </x:c>
      <x:c r="B40" s="86" t="str">
        <x:v>Pulsar NS 160</x:v>
      </x:c>
      <x:c r="C40" s="86" t="n">
        <x:v>3</x:v>
      </x:c>
      <x:c r="D40" s="86" t="str">
        <x:v>Vista o color 3</x:v>
      </x:c>
      <x:c r="E40" s="86" t="str">
        <x:v>https://images.ctfassets.net/8zlbnewncp6f/2tRMD1yX8wYdF1iDyzrUGW/dd8fafbd78aef5214bbdfec300becea4/bajaj-pulsar-160-ns-fi-ug-plano-lateral.png?fit=pad&amp;fm=webp&amp;h=100&amp;q=95&amp;w=100</x:v>
      </x:c>
      <x:c r="F40" s="86" t="str">
        <x:v>https://images.ctfassets.net/8zlbnewncp6f/2tRMD1yX8wYdF1iDyzrUGW/dd8fafbd78aef5214bbdfec300becea4/bajaj-pulsar-160-ns-fi-ug-plano-lateral.png?fit=pad&amp;fm=webp&amp;h=1200&amp;q=95&amp;w=1600</x:v>
      </x:c>
      <x:c r="G40" s="86" t="str">
        <x:v>https://www.galgo.com/mx/motos/MX3262-bajaj-pulsar-ns-160</x:v>
      </x:c>
      <x:c r="H40" s="88" t="str">
        <x:v>APROBADA</x:v>
      </x:c>
      <x:c r="I40" s="82" t="str">
        <x:v>Las fotos corresponden a la línea NS160; verificar gráfico/colores del año comercial.</x:v>
      </x:c>
    </x:row>
    <x:row r="41" ht="48" customHeight="1">
      <x:c r="A41" s="82" t="n">
        <x:v>40</x:v>
      </x:c>
      <x:c r="B41" s="82" t="str">
        <x:v>Pulsar NS 160</x:v>
      </x:c>
      <x:c r="C41" s="82" t="n">
        <x:v>4</x:v>
      </x:c>
      <x:c r="D41" s="82" t="str">
        <x:v>Vista o detalle 4</x:v>
      </x:c>
      <x:c r="E41" s="82" t="str">
        <x:v>https://images.ctfassets.net/8zlbnewncp6f/7HcdOqWLHwyyTn8mh9ZN9Z/6dfdc80ff05063c0a5892d79b5b99ac1/bajaj-pulsar-160-ns-fi-ug-plano-diagonal.png?fit=pad&amp;fm=webp&amp;h=100&amp;q=95&amp;w=100</x:v>
      </x:c>
      <x:c r="F41" s="82" t="str">
        <x:v>https://images.ctfassets.net/8zlbnewncp6f/7HcdOqWLHwyyTn8mh9ZN9Z/6dfdc80ff05063c0a5892d79b5b99ac1/bajaj-pulsar-160-ns-fi-ug-plano-diagonal.png?fit=pad&amp;fm=webp&amp;h=1200&amp;q=95&amp;w=1600</x:v>
      </x:c>
      <x:c r="G41" s="82" t="str">
        <x:v>https://www.galgo.com/mx/motos/MX3262-bajaj-pulsar-ns-160</x:v>
      </x:c>
      <x:c r="H41" s="88" t="str">
        <x:v>APROBADA</x:v>
      </x:c>
      <x:c r="I41" s="82" t="str">
        <x:v>Las fotos corresponden a la línea NS160; verificar gráfico/colores del año comercial.</x:v>
      </x:c>
    </x:row>
    <x:row r="42" ht="48" customHeight="1">
      <x:c r="A42" s="86" t="n">
        <x:v>41</x:v>
      </x:c>
      <x:c r="B42" s="86" t="str">
        <x:v>Pulsar N 160 FI + ABS UG</x:v>
      </x:c>
      <x:c r="C42" s="86" t="n">
        <x:v>1</x:v>
      </x:c>
      <x:c r="D42" s="86" t="str">
        <x:v>Vista principal / color 1</x:v>
      </x:c>
      <x:c r="E42" s="86" t="str">
        <x:v>https://images.ctfassets.net/8zlbnewncp6f/5KcdAR7h2T6DgsfOZabTyo/d38c3df3a068bd1fc5683c9a35e707a3/Bajaj_Pulsar_N_160_2024_Galgo_M_xico.png?fit=pad&amp;fm=webp&amp;h=100&amp;q=95&amp;w=100</x:v>
      </x:c>
      <x:c r="F42" s="86" t="str">
        <x:v>https://images.ctfassets.net/8zlbnewncp6f/5KcdAR7h2T6DgsfOZabTyo/d38c3df3a068bd1fc5683c9a35e707a3/Bajaj_Pulsar_N_160_2024_Galgo_M_xico.png?fit=pad&amp;fm=webp&amp;h=1200&amp;q=95&amp;w=1600</x:v>
      </x:c>
      <x:c r="G42" s="86" t="str">
        <x:v>https://www.galgo.com/mx/motos/MX2936-bajaj-pulsar-n160-fi-abs-ug</x:v>
      </x:c>
      <x:c r="H42" s="88" t="str">
        <x:v>APROBADA</x:v>
      </x:c>
      <x:c r="I42" s="82" t="str">
        <x:v>UG con FI + ABS. Las fotos de detalle permiten diferenciarla de la N160 carburada.</x:v>
      </x:c>
    </x:row>
    <x:row r="43" ht="48" customHeight="1">
      <x:c r="A43" s="82" t="n">
        <x:v>42</x:v>
      </x:c>
      <x:c r="B43" s="82" t="str">
        <x:v>Pulsar N 160 FI + ABS UG</x:v>
      </x:c>
      <x:c r="C43" s="82" t="n">
        <x:v>2</x:v>
      </x:c>
      <x:c r="D43" s="82" t="str">
        <x:v>Vista o color 2</x:v>
      </x:c>
      <x:c r="E43" s="82" t="str">
        <x:v>https://images.ctfassets.net/8zlbnewncp6f/1HdyzIiEKQMmncjdrpAVKv/49d0f11013ad5822f82c7f734ca82979/Bajaj_Pulsar_N_160_2024_Galgo_M_xico__1_.png?fit=pad&amp;fm=webp&amp;h=100&amp;q=95&amp;w=100</x:v>
      </x:c>
      <x:c r="F43" s="82" t="str">
        <x:v>https://images.ctfassets.net/8zlbnewncp6f/1HdyzIiEKQMmncjdrpAVKv/49d0f11013ad5822f82c7f734ca82979/Bajaj_Pulsar_N_160_2024_Galgo_M_xico__1_.png?fit=pad&amp;fm=webp&amp;h=1200&amp;q=95&amp;w=1600</x:v>
      </x:c>
      <x:c r="G43" s="82" t="str">
        <x:v>https://www.galgo.com/mx/motos/MX2936-bajaj-pulsar-n160-fi-abs-ug</x:v>
      </x:c>
      <x:c r="H43" s="88" t="str">
        <x:v>APROBADA</x:v>
      </x:c>
      <x:c r="I43" s="82" t="str">
        <x:v>UG con FI + ABS. Las fotos de detalle permiten diferenciarla de la N160 carburada.</x:v>
      </x:c>
    </x:row>
    <x:row r="44" ht="48" customHeight="1">
      <x:c r="A44" s="86" t="n">
        <x:v>43</x:v>
      </x:c>
      <x:c r="B44" s="86" t="str">
        <x:v>Pulsar N 160 FI + ABS UG</x:v>
      </x:c>
      <x:c r="C44" s="86" t="n">
        <x:v>3</x:v>
      </x:c>
      <x:c r="D44" s="86" t="str">
        <x:v>Vista o color 3</x:v>
      </x:c>
      <x:c r="E44" s="86" t="str">
        <x:v>https://images.ctfassets.net/8zlbnewncp6f/17bGs6X2qCjV4SsSn7lsKk/34eefb707ae9cb367dd986d6fa8a99a6/Bajaj_Pulsar_N_160_2024_Galgo_M_xico__2_.png?fit=pad&amp;fm=webp&amp;h=100&amp;q=95&amp;w=100</x:v>
      </x:c>
      <x:c r="F44" s="86" t="str">
        <x:v>https://images.ctfassets.net/8zlbnewncp6f/17bGs6X2qCjV4SsSn7lsKk/34eefb707ae9cb367dd986d6fa8a99a6/Bajaj_Pulsar_N_160_2024_Galgo_M_xico__2_.png?fit=pad&amp;fm=webp&amp;h=1200&amp;q=95&amp;w=1600</x:v>
      </x:c>
      <x:c r="G44" s="86" t="str">
        <x:v>https://www.galgo.com/mx/motos/MX2936-bajaj-pulsar-n160-fi-abs-ug</x:v>
      </x:c>
      <x:c r="H44" s="88" t="str">
        <x:v>APROBADA</x:v>
      </x:c>
      <x:c r="I44" s="82" t="str">
        <x:v>UG con FI + ABS. Las fotos de detalle permiten diferenciarla de la N160 carburada.</x:v>
      </x:c>
    </x:row>
    <x:row r="45" ht="48" customHeight="1">
      <x:c r="A45" s="82" t="n">
        <x:v>44</x:v>
      </x:c>
      <x:c r="B45" s="82" t="str">
        <x:v>Pulsar N 160 FI + ABS UG</x:v>
      </x:c>
      <x:c r="C45" s="82" t="n">
        <x:v>4</x:v>
      </x:c>
      <x:c r="D45" s="82" t="str">
        <x:v>Vista o detalle 4</x:v>
      </x:c>
      <x:c r="E45" s="82" t="str">
        <x:v>https://images.ctfassets.net/8zlbnewncp6f/4TywesUd3Me6UgQStm27aQ/d3513e2c93df56462f2dae107a1ec5e5/Bajaj_Pulsar_N_160_2024_Galgo_M_xico__3_.png?fit=pad&amp;fm=webp&amp;h=100&amp;q=95&amp;w=100</x:v>
      </x:c>
      <x:c r="F45" s="82" t="str">
        <x:v>https://images.ctfassets.net/8zlbnewncp6f/4TywesUd3Me6UgQStm27aQ/d3513e2c93df56462f2dae107a1ec5e5/Bajaj_Pulsar_N_160_2024_Galgo_M_xico__3_.png?fit=pad&amp;fm=webp&amp;h=1200&amp;q=95&amp;w=1600</x:v>
      </x:c>
      <x:c r="G45" s="82" t="str">
        <x:v>https://www.galgo.com/mx/motos/MX2936-bajaj-pulsar-n160-fi-abs-ug</x:v>
      </x:c>
      <x:c r="H45" s="88" t="str">
        <x:v>APROBADA</x:v>
      </x:c>
      <x:c r="I45" s="82" t="str">
        <x:v>UG con FI + ABS. Las fotos de detalle permiten diferenciarla de la N160 carburada.</x:v>
      </x:c>
    </x:row>
    <x:row r="46" ht="48" customHeight="1">
      <x:c r="A46" s="86" t="n">
        <x:v>45</x:v>
      </x:c>
      <x:c r="B46" s="86" t="str">
        <x:v>Pulsar N 160 FI + ABS Premium</x:v>
      </x:c>
      <x:c r="C46" s="86" t="n">
        <x:v>1</x:v>
      </x:c>
      <x:c r="D46" s="86" t="str">
        <x:v>Vista principal / color 1</x:v>
      </x:c>
      <x:c r="E46" s="86" t="str">
        <x:v>https://images.ctfassets.net/8zlbnewncp6f/6R3mZW6WdJA4lCPreF0bR9/cea4a278c21bbaa870e65a795508be8c/Bajaj_Pulsar_N_160_FI_ABS_Premium_Imagen_principal_Galgo.png?fit=pad&amp;fm=webp&amp;h=100&amp;q=95&amp;w=100</x:v>
      </x:c>
      <x:c r="F46" s="86" t="str">
        <x:v>https://images.ctfassets.net/8zlbnewncp6f/6R3mZW6WdJA4lCPreF0bR9/cea4a278c21bbaa870e65a795508be8c/Bajaj_Pulsar_N_160_FI_ABS_Premium_Imagen_principal_Galgo.png?fit=pad&amp;fm=webp&amp;h=1200&amp;q=95&amp;w=1600</x:v>
      </x:c>
      <x:c r="G46" s="86" t="str">
        <x:v>https://www.galgo.com/mx/motos/MX3313-bajaj-pulsar-n-160-fi-abs-premium</x:v>
      </x:c>
      <x:c r="H46" s="88" t="str">
        <x:v>APROBADA</x:v>
      </x:c>
      <x:c r="I46" s="82" t="str">
        <x:v>Premium: identificar por barras invertidas y diseño frontal actualizado. Una imagen se sirve a 500 px desde la fuente.</x:v>
      </x:c>
    </x:row>
    <x:row r="47" ht="48" customHeight="1">
      <x:c r="A47" s="82" t="n">
        <x:v>46</x:v>
      </x:c>
      <x:c r="B47" s="82" t="str">
        <x:v>Pulsar N 160 FI + ABS Premium</x:v>
      </x:c>
      <x:c r="C47" s="82" t="n">
        <x:v>2</x:v>
      </x:c>
      <x:c r="D47" s="82" t="str">
        <x:v>Vista o color 2</x:v>
      </x:c>
      <x:c r="E47" s="82" t="str">
        <x:v>https://images.ctfassets.net/8zlbnewncp6f/2vDp67I7LVLqrtSPy8dYty/23e3a9de644016efc8010c9e6ce1927b/Bajaj_Pulsar_N_160_Galeria_Galgo.png?fit=pad&amp;fm=webp&amp;h=100&amp;q=95&amp;w=100</x:v>
      </x:c>
      <x:c r="F47" s="82" t="str">
        <x:v>https://images.ctfassets.net/8zlbnewncp6f/2vDp67I7LVLqrtSPy8dYty/23e3a9de644016efc8010c9e6ce1927b/Bajaj_Pulsar_N_160_Galeria_Galgo.png?fit=pad&amp;fm=webp&amp;h=1200&amp;q=95&amp;w=1600</x:v>
      </x:c>
      <x:c r="G47" s="82" t="str">
        <x:v>https://www.galgo.com/mx/motos/MX3313-bajaj-pulsar-n-160-fi-abs-premium</x:v>
      </x:c>
      <x:c r="H47" s="88" t="str">
        <x:v>APROBADA</x:v>
      </x:c>
      <x:c r="I47" s="82" t="str">
        <x:v>Premium: identificar por barras invertidas y diseño frontal actualizado. Una imagen se sirve a 500 px desde la fuente.</x:v>
      </x:c>
    </x:row>
    <x:row r="48" ht="48" customHeight="1">
      <x:c r="A48" s="86" t="n">
        <x:v>47</x:v>
      </x:c>
      <x:c r="B48" s="86" t="str">
        <x:v>Pulsar N 160 FI + ABS Premium</x:v>
      </x:c>
      <x:c r="C48" s="86" t="n">
        <x:v>3</x:v>
      </x:c>
      <x:c r="D48" s="86" t="str">
        <x:v>Vista o color 3</x:v>
      </x:c>
      <x:c r="E48" s="86" t="str">
        <x:v>https://images.ctfassets.net/8zlbnewncp6f/7G19Uom8IAsE5hzQYHr4uS/b3f04385bc6007cb2fe759839b8d316b/Bajaj_Pulsar_N_160_Galeria_Galgo.png?fit=pad&amp;fm=webp&amp;h=100&amp;q=95&amp;w=100</x:v>
      </x:c>
      <x:c r="F48" s="86" t="str">
        <x:v>https://images.ctfassets.net/8zlbnewncp6f/7G19Uom8IAsE5hzQYHr4uS/b3f04385bc6007cb2fe759839b8d316b/Bajaj_Pulsar_N_160_Galeria_Galgo.png?fit=pad&amp;fm=webp&amp;h=1200&amp;q=95&amp;w=1600</x:v>
      </x:c>
      <x:c r="G48" s="86" t="str">
        <x:v>https://www.galgo.com/mx/motos/MX3313-bajaj-pulsar-n-160-fi-abs-premium</x:v>
      </x:c>
      <x:c r="H48" s="88" t="str">
        <x:v>APROBADA</x:v>
      </x:c>
      <x:c r="I48" s="82" t="str">
        <x:v>Premium: identificar por barras invertidas y diseño frontal actualizado. Una imagen se sirve a 500 px desde la fuente.</x:v>
      </x:c>
    </x:row>
    <x:row r="49" ht="48" customHeight="1">
      <x:c r="A49" s="82" t="n">
        <x:v>48</x:v>
      </x:c>
      <x:c r="B49" s="82" t="str">
        <x:v>Pulsar N 160 FI + ABS Premium</x:v>
      </x:c>
      <x:c r="C49" s="82" t="n">
        <x:v>4</x:v>
      </x:c>
      <x:c r="D49" s="82" t="str">
        <x:v>Vista o detalle 4</x:v>
      </x:c>
      <x:c r="E49" s="82" t="str">
        <x:v>https://images.ctfassets.net/8zlbnewncp6f/6R3mZW6WdJA4lCPreF0bR9/cea4a278c21bbaa870e65a795508be8c/Bajaj_Pulsar_N_160_FI_ABS_Premium_Imagen_principal_Galgo.png?fit=pad&amp;fm=webp&amp;h=500&amp;q=95&amp;w=500</x:v>
      </x:c>
      <x:c r="F49" s="82" t="str">
        <x:v>https://images.ctfassets.net/8zlbnewncp6f/6R3mZW6WdJA4lCPreF0bR9/cea4a278c21bbaa870e65a795508be8c/Bajaj_Pulsar_N_160_FI_ABS_Premium_Imagen_principal_Galgo.png?fit=pad&amp;fm=webp&amp;h=1200&amp;q=95&amp;w=1600</x:v>
      </x:c>
      <x:c r="G49" s="82" t="str">
        <x:v>https://www.galgo.com/mx/motos/MX3313-bajaj-pulsar-n-160-fi-abs-premium</x:v>
      </x:c>
      <x:c r="H49" s="88" t="str">
        <x:v>APROBADA</x:v>
      </x:c>
      <x:c r="I49" s="82" t="str">
        <x:v>Premium: identificar por barras invertidas y diseño frontal actualizado. Una imagen se sirve a 500 px desde la fuente.</x:v>
      </x:c>
    </x:row>
    <x:row r="50" ht="48" customHeight="1">
      <x:c r="A50" s="86" t="n">
        <x:v>49</x:v>
      </x:c>
      <x:c r="B50" s="86" t="str">
        <x:v>Pulsar NS 200</x:v>
      </x:c>
      <x:c r="C50" s="86" t="n">
        <x:v>1</x:v>
      </x:c>
      <x:c r="D50" s="86" t="str">
        <x:v>Vista principal / color 1</x:v>
      </x:c>
      <x:c r="E50" s="86" t="str">
        <x:v>https://images.ctfassets.net/8zlbnewncp6f/E5Y5eGWA8YlhfFVyNISfb/c5e58bc6750e06e0ded5388af24a5d11/Bajaj_pulsar_ns_200_galgo_m_xico.png?fit=pad&amp;fm=webp&amp;h=100&amp;q=95&amp;w=100</x:v>
      </x:c>
      <x:c r="F50" s="86" t="str">
        <x:v>https://images.ctfassets.net/8zlbnewncp6f/E5Y5eGWA8YlhfFVyNISfb/c5e58bc6750e06e0ded5388af24a5d11/Bajaj_pulsar_ns_200_galgo_m_xico.png?fit=pad&amp;fm=webp&amp;h=1200&amp;q=95&amp;w=1600</x:v>
      </x:c>
      <x:c r="G50" s="86" t="str">
        <x:v>https://www.galgo.com/mx/motos/MX1172-bajaj-pulsar-ns-200-2023</x:v>
      </x:c>
      <x:c r="H50" s="88" t="str">
        <x:v>APROBADA</x:v>
      </x:c>
      <x:c r="I50" s="82" t="str">
        <x:v>Versión sin la denominación FI ABS. No usar imágenes que muestren emblemas ABS si el inventario es base.</x:v>
      </x:c>
    </x:row>
    <x:row r="51" ht="48" customHeight="1">
      <x:c r="A51" s="82" t="n">
        <x:v>50</x:v>
      </x:c>
      <x:c r="B51" s="82" t="str">
        <x:v>Pulsar NS 200</x:v>
      </x:c>
      <x:c r="C51" s="82" t="n">
        <x:v>2</x:v>
      </x:c>
      <x:c r="D51" s="82" t="str">
        <x:v>Vista o color 2</x:v>
      </x:c>
      <x:c r="E51" s="82" t="str">
        <x:v>https://images.ctfassets.net/8zlbnewncp6f/3T33LfLh7EyM4dhQZz2Kbl/35439be7578c0bb18b55622598d7a1fc/bajaj-pulsar-ns-200-close-up-faro.png?fit=pad&amp;fm=webp&amp;h=100&amp;q=95&amp;w=100</x:v>
      </x:c>
      <x:c r="F51" s="82" t="str">
        <x:v>https://images.ctfassets.net/8zlbnewncp6f/3T33LfLh7EyM4dhQZz2Kbl/35439be7578c0bb18b55622598d7a1fc/bajaj-pulsar-ns-200-close-up-faro.png?fit=pad&amp;fm=webp&amp;h=1200&amp;q=95&amp;w=1600</x:v>
      </x:c>
      <x:c r="G51" s="82" t="str">
        <x:v>https://www.galgo.com/mx/motos/MX1172-bajaj-pulsar-ns-200-2023</x:v>
      </x:c>
      <x:c r="H51" s="88" t="str">
        <x:v>APROBADA</x:v>
      </x:c>
      <x:c r="I51" s="82" t="str">
        <x:v>Versión sin la denominación FI ABS. No usar imágenes que muestren emblemas ABS si el inventario es base.</x:v>
      </x:c>
    </x:row>
    <x:row r="52" ht="48" customHeight="1">
      <x:c r="A52" s="86" t="n">
        <x:v>51</x:v>
      </x:c>
      <x:c r="B52" s="86" t="str">
        <x:v>Pulsar NS 200</x:v>
      </x:c>
      <x:c r="C52" s="86" t="n">
        <x:v>3</x:v>
      </x:c>
      <x:c r="D52" s="86" t="str">
        <x:v>Vista o color 3</x:v>
      </x:c>
      <x:c r="E52" s="86" t="str">
        <x:v>https://images.ctfassets.net/8zlbnewncp6f/33B9SMEgrMFZ1Jh9DXtxY9/cf5f67b169894e9c8ac794f655f981d6/bajaj-pulsar-ns-200-close-up-tablero.png?fit=pad&amp;fm=webp&amp;h=100&amp;q=95&amp;w=100</x:v>
      </x:c>
      <x:c r="F52" s="86" t="str">
        <x:v>https://images.ctfassets.net/8zlbnewncp6f/33B9SMEgrMFZ1Jh9DXtxY9/cf5f67b169894e9c8ac794f655f981d6/bajaj-pulsar-ns-200-close-up-tablero.png?fit=pad&amp;fm=webp&amp;h=1200&amp;q=95&amp;w=1600</x:v>
      </x:c>
      <x:c r="G52" s="86" t="str">
        <x:v>https://www.galgo.com/mx/motos/MX1172-bajaj-pulsar-ns-200-2023</x:v>
      </x:c>
      <x:c r="H52" s="88" t="str">
        <x:v>APROBADA</x:v>
      </x:c>
      <x:c r="I52" s="82" t="str">
        <x:v>Versión sin la denominación FI ABS. No usar imágenes que muestren emblemas ABS si el inventario es base.</x:v>
      </x:c>
    </x:row>
    <x:row r="53" ht="48" customHeight="1">
      <x:c r="A53" s="82" t="n">
        <x:v>52</x:v>
      </x:c>
      <x:c r="B53" s="82" t="str">
        <x:v>Pulsar NS 200</x:v>
      </x:c>
      <x:c r="C53" s="82" t="n">
        <x:v>4</x:v>
      </x:c>
      <x:c r="D53" s="82" t="str">
        <x:v>Vista o detalle 4</x:v>
      </x:c>
      <x:c r="E53" s="82" t="str">
        <x:v>https://images.ctfassets.net/8zlbnewncp6f/65i63xwRj68OqlIkt0LX6o/08eb3c833ebdd3c30efbb526c55c57d2/bajaj-pulsar-ns-200-close-up-motor.png?fit=pad&amp;fm=webp&amp;h=100&amp;q=95&amp;w=100</x:v>
      </x:c>
      <x:c r="F53" s="82" t="str">
        <x:v>https://images.ctfassets.net/8zlbnewncp6f/65i63xwRj68OqlIkt0LX6o/08eb3c833ebdd3c30efbb526c55c57d2/bajaj-pulsar-ns-200-close-up-motor.png?fit=pad&amp;fm=webp&amp;h=1200&amp;q=95&amp;w=1600</x:v>
      </x:c>
      <x:c r="G53" s="82" t="str">
        <x:v>https://www.galgo.com/mx/motos/MX1172-bajaj-pulsar-ns-200-2023</x:v>
      </x:c>
      <x:c r="H53" s="88" t="str">
        <x:v>APROBADA</x:v>
      </x:c>
      <x:c r="I53" s="82" t="str">
        <x:v>Versión sin la denominación FI ABS. No usar imágenes que muestren emblemas ABS si el inventario es base.</x:v>
      </x:c>
    </x:row>
    <x:row r="54" ht="48" customHeight="1">
      <x:c r="A54" s="86" t="n">
        <x:v>53</x:v>
      </x:c>
      <x:c r="B54" s="86" t="str">
        <x:v>Pulsar NS 200 FI ABS</x:v>
      </x:c>
      <x:c r="C54" s="86" t="n">
        <x:v>1</x:v>
      </x:c>
      <x:c r="D54" s="86" t="str">
        <x:v>Vista principal / color 1</x:v>
      </x:c>
      <x:c r="E54" s="86" t="str">
        <x:v>https://images.ctfassets.net/8zlbnewncp6f/1byr0derItwW6P4WhMqCRV/25f5462a063a85b5107a07313b94d2fa/Imagen_principal.jpg?fit=pad&amp;fm=webp&amp;h=100&amp;q=95&amp;w=100</x:v>
      </x:c>
      <x:c r="F54" s="86" t="str">
        <x:v>https://images.ctfassets.net/8zlbnewncp6f/1byr0derItwW6P4WhMqCRV/25f5462a063a85b5107a07313b94d2fa/Imagen_principal.jpg?fit=pad&amp;fm=webp&amp;h=1200&amp;q=95&amp;w=1600</x:v>
      </x:c>
      <x:c r="G54" s="86" t="str">
        <x:v>https://www.galgo.com/mx/motos/MX245-bajaj-pulsar-200-ns-fi-abs</x:v>
      </x:c>
      <x:c r="H54" s="88" t="str">
        <x:v>APROBADA</x:v>
      </x:c>
      <x:c r="I54" s="82" t="str">
        <x:v>FI ABS: confirmar sensor/aro ABS y calcomanías de la versión al publicar.</x:v>
      </x:c>
    </x:row>
    <x:row r="55" ht="48" customHeight="1">
      <x:c r="A55" s="82" t="n">
        <x:v>54</x:v>
      </x:c>
      <x:c r="B55" s="82" t="str">
        <x:v>Pulsar NS 200 FI ABS</x:v>
      </x:c>
      <x:c r="C55" s="82" t="n">
        <x:v>2</x:v>
      </x:c>
      <x:c r="D55" s="82" t="str">
        <x:v>Vista o color 2</x:v>
      </x:c>
      <x:c r="E55" s="82" t="str">
        <x:v>https://images.ctfassets.net/8zlbnewncp6f/v4fOlCKRzYAN19XM5c34Y/8fb6196fba728d3d3c9af41bc112ccfe/descarga__1_.jpg?fit=pad&amp;fm=webp&amp;h=100&amp;q=95&amp;w=100</x:v>
      </x:c>
      <x:c r="F55" s="82" t="str">
        <x:v>https://images.ctfassets.net/8zlbnewncp6f/v4fOlCKRzYAN19XM5c34Y/8fb6196fba728d3d3c9af41bc112ccfe/descarga__1_.jpg?fit=pad&amp;fm=webp&amp;h=1200&amp;q=95&amp;w=1600</x:v>
      </x:c>
      <x:c r="G55" s="82" t="str">
        <x:v>https://www.galgo.com/mx/motos/MX245-bajaj-pulsar-200-ns-fi-abs</x:v>
      </x:c>
      <x:c r="H55" s="88" t="str">
        <x:v>APROBADA</x:v>
      </x:c>
      <x:c r="I55" s="82" t="str">
        <x:v>FI ABS: confirmar sensor/aro ABS y calcomanías de la versión al publicar.</x:v>
      </x:c>
    </x:row>
    <x:row r="56" ht="48" customHeight="1">
      <x:c r="A56" s="86" t="n">
        <x:v>55</x:v>
      </x:c>
      <x:c r="B56" s="86" t="str">
        <x:v>Pulsar NS 200 FI ABS</x:v>
      </x:c>
      <x:c r="C56" s="86" t="n">
        <x:v>3</x:v>
      </x:c>
      <x:c r="D56" s="86" t="str">
        <x:v>Vista o color 3</x:v>
      </x:c>
      <x:c r="E56" s="86" t="str">
        <x:v>https://images.ctfassets.net/8zlbnewncp6f/59LrRGnv0GSsjy7GH4ccJc/2c76c4ccae11bf57d671ad617503e758/descarga__2_.jpg?fit=pad&amp;fm=webp&amp;h=100&amp;q=95&amp;w=100</x:v>
      </x:c>
      <x:c r="F56" s="86" t="str">
        <x:v>https://images.ctfassets.net/8zlbnewncp6f/59LrRGnv0GSsjy7GH4ccJc/2c76c4ccae11bf57d671ad617503e758/descarga__2_.jpg?fit=pad&amp;fm=webp&amp;h=1200&amp;q=95&amp;w=1600</x:v>
      </x:c>
      <x:c r="G56" s="86" t="str">
        <x:v>https://www.galgo.com/mx/motos/MX245-bajaj-pulsar-200-ns-fi-abs</x:v>
      </x:c>
      <x:c r="H56" s="88" t="str">
        <x:v>APROBADA</x:v>
      </x:c>
      <x:c r="I56" s="82" t="str">
        <x:v>FI ABS: confirmar sensor/aro ABS y calcomanías de la versión al publicar.</x:v>
      </x:c>
    </x:row>
    <x:row r="57" ht="48" customHeight="1">
      <x:c r="A57" s="82" t="n">
        <x:v>56</x:v>
      </x:c>
      <x:c r="B57" s="82" t="str">
        <x:v>Pulsar NS 200 FI ABS</x:v>
      </x:c>
      <x:c r="C57" s="82" t="n">
        <x:v>4</x:v>
      </x:c>
      <x:c r="D57" s="82" t="str">
        <x:v>Vista o detalle 4</x:v>
      </x:c>
      <x:c r="E57" s="82" t="str">
        <x:v>https://images.ctfassets.net/8zlbnewncp6f/3Hn33KZ2Ip7WLybyLIU5PZ/12d8ac73c4d465a03d02280da3eb33f3/Bajaj_Pulsar_NS_200_15.jpg?fit=pad&amp;fm=webp&amp;h=100&amp;q=95&amp;w=100</x:v>
      </x:c>
      <x:c r="F57" s="82" t="str">
        <x:v>https://images.ctfassets.net/8zlbnewncp6f/3Hn33KZ2Ip7WLybyLIU5PZ/12d8ac73c4d465a03d02280da3eb33f3/Bajaj_Pulsar_NS_200_15.jpg?fit=pad&amp;fm=webp&amp;h=1200&amp;q=95&amp;w=1600</x:v>
      </x:c>
      <x:c r="G57" s="82" t="str">
        <x:v>https://www.galgo.com/mx/motos/MX245-bajaj-pulsar-200-ns-fi-abs</x:v>
      </x:c>
      <x:c r="H57" s="88" t="str">
        <x:v>APROBADA</x:v>
      </x:c>
      <x:c r="I57" s="82" t="str">
        <x:v>FI ABS: confirmar sensor/aro ABS y calcomanías de la versión al publicar.</x:v>
      </x:c>
    </x:row>
    <x:row r="58" ht="48" customHeight="1">
      <x:c r="A58" s="86" t="n">
        <x:v>57</x:v>
      </x:c>
      <x:c r="B58" s="86" t="str">
        <x:v>Pulsar N 250</x:v>
      </x:c>
      <x:c r="C58" s="86" t="n">
        <x:v>1</x:v>
      </x:c>
      <x:c r="D58" s="86" t="str">
        <x:v>Vista principal / color 1</x:v>
      </x:c>
      <x:c r="E58" s="86" t="str">
        <x:v>https://images.ctfassets.net/8zlbnewncp6f/4RxbRFRNzlhu2RJfqBgeF7/1ca682a20ae05bbf97b356618ab89b43/imagen_principal.jpg?fit=pad&amp;fm=webp&amp;h=100&amp;q=95&amp;w=100</x:v>
      </x:c>
      <x:c r="F58" s="86" t="str">
        <x:v>https://images.ctfassets.net/8zlbnewncp6f/4RxbRFRNzlhu2RJfqBgeF7/1ca682a20ae05bbf97b356618ab89b43/imagen_principal.jpg?fit=pad&amp;fm=webp&amp;h=1200&amp;q=95&amp;w=1600</x:v>
      </x:c>
      <x:c r="G58" s="86" t="str">
        <x:v>https://www.galgo.com/mx/motos/MX329-bajaj-pulsar-n-250</x:v>
      </x:c>
      <x:c r="H58" s="88" t="str">
        <x:v>APROBADA</x:v>
      </x:c>
      <x:c r="I58" s="82" t="str">
        <x:v>Versión carburada. Las fotos muestran distintos colores oficiales de la misma carrocería N250.</x:v>
      </x:c>
    </x:row>
    <x:row r="59" ht="48" customHeight="1">
      <x:c r="A59" s="82" t="n">
        <x:v>58</x:v>
      </x:c>
      <x:c r="B59" s="82" t="str">
        <x:v>Pulsar N 250</x:v>
      </x:c>
      <x:c r="C59" s="82" t="n">
        <x:v>2</x:v>
      </x:c>
      <x:c r="D59" s="82" t="str">
        <x:v>Vista o color 2</x:v>
      </x:c>
      <x:c r="E59" s="82" t="str">
        <x:v>https://images.ctfassets.net/8zlbnewncp6f/7GmjE6o1kT8tkkJeTkQU8D/a564734a6567291cacacb8626ae834ba/Bajaj_Pulsar_N_250_Galeria1_Galgo.jpg?fit=pad&amp;fm=webp&amp;h=100&amp;q=95&amp;w=100</x:v>
      </x:c>
      <x:c r="F59" s="82" t="str">
        <x:v>https://images.ctfassets.net/8zlbnewncp6f/7GmjE6o1kT8tkkJeTkQU8D/a564734a6567291cacacb8626ae834ba/Bajaj_Pulsar_N_250_Galeria1_Galgo.jpg?fit=pad&amp;fm=webp&amp;h=1200&amp;q=95&amp;w=1600</x:v>
      </x:c>
      <x:c r="G59" s="82" t="str">
        <x:v>https://www.galgo.com/mx/motos/MX329-bajaj-pulsar-n-250</x:v>
      </x:c>
      <x:c r="H59" s="88" t="str">
        <x:v>APROBADA</x:v>
      </x:c>
      <x:c r="I59" s="82" t="str">
        <x:v>Versión carburada. Las fotos muestran distintos colores oficiales de la misma carrocería N250.</x:v>
      </x:c>
    </x:row>
    <x:row r="60" ht="48" customHeight="1">
      <x:c r="A60" s="86" t="n">
        <x:v>59</x:v>
      </x:c>
      <x:c r="B60" s="86" t="str">
        <x:v>Pulsar N 250</x:v>
      </x:c>
      <x:c r="C60" s="86" t="n">
        <x:v>3</x:v>
      </x:c>
      <x:c r="D60" s="86" t="str">
        <x:v>Vista o color 3</x:v>
      </x:c>
      <x:c r="E60" s="86" t="str">
        <x:v>https://images.ctfassets.net/8zlbnewncp6f/3PF50CdSIDjHJXawo8VHGS/84feb291c58dc0a37184a0d3e172fbc0/Bajaj_Pulsar_N_250_Galeria2_Galgo.jpg?fit=pad&amp;fm=webp&amp;h=100&amp;q=95&amp;w=100</x:v>
      </x:c>
      <x:c r="F60" s="86" t="str">
        <x:v>https://images.ctfassets.net/8zlbnewncp6f/3PF50CdSIDjHJXawo8VHGS/84feb291c58dc0a37184a0d3e172fbc0/Bajaj_Pulsar_N_250_Galeria2_Galgo.jpg?fit=pad&amp;fm=webp&amp;h=1200&amp;q=95&amp;w=1600</x:v>
      </x:c>
      <x:c r="G60" s="86" t="str">
        <x:v>https://www.galgo.com/mx/motos/MX329-bajaj-pulsar-n-250</x:v>
      </x:c>
      <x:c r="H60" s="88" t="str">
        <x:v>APROBADA</x:v>
      </x:c>
      <x:c r="I60" s="82" t="str">
        <x:v>Versión carburada. Las fotos muestran distintos colores oficiales de la misma carrocería N250.</x:v>
      </x:c>
    </x:row>
    <x:row r="61" ht="48" customHeight="1">
      <x:c r="A61" s="82" t="n">
        <x:v>60</x:v>
      </x:c>
      <x:c r="B61" s="82" t="str">
        <x:v>Pulsar N 250</x:v>
      </x:c>
      <x:c r="C61" s="82" t="n">
        <x:v>4</x:v>
      </x:c>
      <x:c r="D61" s="82" t="str">
        <x:v>Vista o detalle 4</x:v>
      </x:c>
      <x:c r="E61" s="82" t="str">
        <x:v>https://images.ctfassets.net/8zlbnewncp6f/1chgHSW62yNzJxmKq32hhT/1593e0214e379ce2945bced0878719b4/Bajaj_Pulsar_N_250_Galeria3_Galgo.jpg?fit=pad&amp;fm=webp&amp;h=100&amp;q=95&amp;w=100</x:v>
      </x:c>
      <x:c r="F61" s="82" t="str">
        <x:v>https://images.ctfassets.net/8zlbnewncp6f/1chgHSW62yNzJxmKq32hhT/1593e0214e379ce2945bced0878719b4/Bajaj_Pulsar_N_250_Galeria3_Galgo.jpg?fit=pad&amp;fm=webp&amp;h=1200&amp;q=95&amp;w=1600</x:v>
      </x:c>
      <x:c r="G61" s="82" t="str">
        <x:v>https://www.galgo.com/mx/motos/MX329-bajaj-pulsar-n-250</x:v>
      </x:c>
      <x:c r="H61" s="88" t="str">
        <x:v>APROBADA</x:v>
      </x:c>
      <x:c r="I61" s="82" t="str">
        <x:v>Versión carburada. Las fotos muestran distintos colores oficiales de la misma carrocería N250.</x:v>
      </x:c>
    </x:row>
    <x:row r="62" ht="48" customHeight="1">
      <x:c r="A62" s="86" t="n">
        <x:v>61</x:v>
      </x:c>
      <x:c r="B62" s="86" t="str">
        <x:v>Pulsar N 250 FI + ABS</x:v>
      </x:c>
      <x:c r="C62" s="86" t="n">
        <x:v>1</x:v>
      </x:c>
      <x:c r="D62" s="86" t="str">
        <x:v>Vista principal / color 1</x:v>
      </x:c>
      <x:c r="E62" s="86" t="str">
        <x:v>https://images.ctfassets.net/8zlbnewncp6f/BsE5skGm1R5RHIbF3ep0m/8daeafdca7278687d9075285ac56a369/imagen_principal.png?fit=pad&amp;fm=webp&amp;h=100&amp;q=95&amp;w=100</x:v>
      </x:c>
      <x:c r="F62" s="86" t="str">
        <x:v>https://images.ctfassets.net/8zlbnewncp6f/BsE5skGm1R5RHIbF3ep0m/8daeafdca7278687d9075285ac56a369/imagen_principal.png?fit=pad&amp;fm=webp&amp;h=1200&amp;q=95&amp;w=1600</x:v>
      </x:c>
      <x:c r="G62" s="86" t="str">
        <x:v>https://www.galgo.com/mx/motos/MX2450-bajaj-n-250-fi-abs</x:v>
      </x:c>
      <x:c r="H62" s="88" t="str">
        <x:v>APROBADA</x:v>
      </x:c>
      <x:c r="I62" s="82" t="str">
        <x:v>FI + ABS. Verificar distintivo ABS y año, pues algunos ángulos se parecen mucho a la N250 carburada.</x:v>
      </x:c>
    </x:row>
    <x:row r="63" ht="48" customHeight="1">
      <x:c r="A63" s="82" t="n">
        <x:v>62</x:v>
      </x:c>
      <x:c r="B63" s="82" t="str">
        <x:v>Pulsar N 250 FI + ABS</x:v>
      </x:c>
      <x:c r="C63" s="82" t="n">
        <x:v>2</x:v>
      </x:c>
      <x:c r="D63" s="82" t="str">
        <x:v>Vista o color 2</x:v>
      </x:c>
      <x:c r="E63" s="82" t="str">
        <x:v>https://images.ctfassets.net/8zlbnewncp6f/1zVK85ueluY4CKlDG65Pf9/520414adaf73fcca72932352374e4c7c/33_pulsar-n250_360_black_2023_2.jpg?fit=pad&amp;fm=webp&amp;h=100&amp;q=95&amp;w=100</x:v>
      </x:c>
      <x:c r="F63" s="82" t="str">
        <x:v>https://images.ctfassets.net/8zlbnewncp6f/1zVK85ueluY4CKlDG65Pf9/520414adaf73fcca72932352374e4c7c/33_pulsar-n250_360_black_2023_2.jpg?fit=pad&amp;fm=webp&amp;h=1200&amp;q=95&amp;w=1600</x:v>
      </x:c>
      <x:c r="G63" s="82" t="str">
        <x:v>https://www.galgo.com/mx/motos/MX2450-bajaj-n-250-fi-abs</x:v>
      </x:c>
      <x:c r="H63" s="88" t="str">
        <x:v>APROBADA</x:v>
      </x:c>
      <x:c r="I63" s="82" t="str">
        <x:v>FI + ABS. Verificar distintivo ABS y año, pues algunos ángulos se parecen mucho a la N250 carburada.</x:v>
      </x:c>
    </x:row>
    <x:row r="64" ht="48" customHeight="1">
      <x:c r="A64" s="86" t="n">
        <x:v>63</x:v>
      </x:c>
      <x:c r="B64" s="86" t="str">
        <x:v>Pulsar N 250 FI + ABS</x:v>
      </x:c>
      <x:c r="C64" s="86" t="n">
        <x:v>3</x:v>
      </x:c>
      <x:c r="D64" s="86" t="str">
        <x:v>Vista o color 3</x:v>
      </x:c>
      <x:c r="E64" s="86" t="str">
        <x:v>https://images.ctfassets.net/8zlbnewncp6f/6vujIsqYWGIqaOtCW9FyWS/8f2db20e5d50e4cd26d8e9c29357f8ce/21_pulsar-n250_360_black_2023_2.jpg?fit=pad&amp;fm=webp&amp;h=100&amp;q=95&amp;w=100</x:v>
      </x:c>
      <x:c r="F64" s="86" t="str">
        <x:v>https://images.ctfassets.net/8zlbnewncp6f/6vujIsqYWGIqaOtCW9FyWS/8f2db20e5d50e4cd26d8e9c29357f8ce/21_pulsar-n250_360_black_2023_2.jpg?fit=pad&amp;fm=webp&amp;h=1200&amp;q=95&amp;w=1600</x:v>
      </x:c>
      <x:c r="G64" s="86" t="str">
        <x:v>https://www.galgo.com/mx/motos/MX2450-bajaj-n-250-fi-abs</x:v>
      </x:c>
      <x:c r="H64" s="88" t="str">
        <x:v>APROBADA</x:v>
      </x:c>
      <x:c r="I64" s="82" t="str">
        <x:v>FI + ABS. Verificar distintivo ABS y año, pues algunos ángulos se parecen mucho a la N250 carburada.</x:v>
      </x:c>
    </x:row>
    <x:row r="65" ht="48" customHeight="1">
      <x:c r="A65" s="82" t="n">
        <x:v>64</x:v>
      </x:c>
      <x:c r="B65" s="82" t="str">
        <x:v>Pulsar N 250 FI + ABS</x:v>
      </x:c>
      <x:c r="C65" s="82" t="n">
        <x:v>4</x:v>
      </x:c>
      <x:c r="D65" s="82" t="str">
        <x:v>Vista o detalle 4</x:v>
      </x:c>
      <x:c r="E65" s="82" t="str">
        <x:v>https://images.ctfassets.net/8zlbnewncp6f/50XMpF7xM98VTjzQqt1cOB/7cb8b93d9dd0a98dcdd9be6f54c7b4dd/pulsar_2024_roja_1_1_1.jpg?fit=pad&amp;fm=webp&amp;h=100&amp;q=95&amp;w=100</x:v>
      </x:c>
      <x:c r="F65" s="82" t="str">
        <x:v>https://images.ctfassets.net/8zlbnewncp6f/50XMpF7xM98VTjzQqt1cOB/7cb8b93d9dd0a98dcdd9be6f54c7b4dd/pulsar_2024_roja_1_1_1.jpg?fit=pad&amp;fm=webp&amp;h=1200&amp;q=95&amp;w=1600</x:v>
      </x:c>
      <x:c r="G65" s="82" t="str">
        <x:v>https://www.galgo.com/mx/motos/MX2450-bajaj-n-250-fi-abs</x:v>
      </x:c>
      <x:c r="H65" s="88" t="str">
        <x:v>APROBADA</x:v>
      </x:c>
      <x:c r="I65" s="82" t="str">
        <x:v>FI + ABS. Verificar distintivo ABS y año, pues algunos ángulos se parecen mucho a la N250 carburada.</x:v>
      </x:c>
    </x:row>
    <x:row r="66" ht="48" customHeight="1">
      <x:c r="A66" s="86" t="n">
        <x:v>65</x:v>
      </x:c>
      <x:c r="B66" s="86" t="str">
        <x:v>Pulsar F 250</x:v>
      </x:c>
      <x:c r="C66" s="86" t="n">
        <x:v>1</x:v>
      </x:c>
      <x:c r="D66" s="86" t="str">
        <x:v>Vista principal / color 1</x:v>
      </x:c>
      <x:c r="E66" s="86" t="str">
        <x:v>https://images.ctfassets.net/8zlbnewncp6f/2BvXVsnnxx4e4AdH0C5fFr/eec3e771820eeafd61d05180209f0acc/Bajaj_Pulsar_F250_Imagen_principal_Galgo.png?fit=pad&amp;fm=webp&amp;h=100&amp;q=95&amp;w=100</x:v>
      </x:c>
      <x:c r="F66" s="86" t="str">
        <x:v>https://images.ctfassets.net/8zlbnewncp6f/2BvXVsnnxx4e4AdH0C5fFr/eec3e771820eeafd61d05180209f0acc/Bajaj_Pulsar_F250_Imagen_principal_Galgo.png?fit=pad&amp;fm=webp&amp;h=1200&amp;q=95&amp;w=1600</x:v>
      </x:c>
      <x:c r="G66" s="86" t="str">
        <x:v>https://www.galgo.com/mx/motos/MX3265-bajaj-pulsar-f250</x:v>
      </x:c>
      <x:c r="H66" s="96" t="str">
        <x:v>APROBADA CON CORRECCIÓN</x:v>
      </x:c>
      <x:c r="I66" s="82" t="str">
        <x:v>La página comercial muestra erróneamente 200 cc/18.6 Nm en algunos campos; la F250 corresponde a la plataforma 249 cc.</x:v>
      </x:c>
    </x:row>
    <x:row r="67" ht="48" customHeight="1">
      <x:c r="A67" s="82" t="n">
        <x:v>66</x:v>
      </x:c>
      <x:c r="B67" s="82" t="str">
        <x:v>Pulsar F 250</x:v>
      </x:c>
      <x:c r="C67" s="82" t="n">
        <x:v>2</x:v>
      </x:c>
      <x:c r="D67" s="82" t="str">
        <x:v>Vista o color 2</x:v>
      </x:c>
      <x:c r="E67" s="82" t="str">
        <x:v>https://images.ctfassets.net/8zlbnewncp6f/7pxBgY1UqWlS907DAb6PVw/1d66b6538e8b5585673867a90f9f4de5/Bajaj_Pulsar_F250_Galeria5_Galgo.png?fit=pad&amp;fm=webp&amp;h=100&amp;q=95&amp;w=100</x:v>
      </x:c>
      <x:c r="F67" s="82" t="str">
        <x:v>https://images.ctfassets.net/8zlbnewncp6f/7pxBgY1UqWlS907DAb6PVw/1d66b6538e8b5585673867a90f9f4de5/Bajaj_Pulsar_F250_Galeria5_Galgo.png?fit=pad&amp;fm=webp&amp;h=1200&amp;q=95&amp;w=1600</x:v>
      </x:c>
      <x:c r="G67" s="82" t="str">
        <x:v>https://www.galgo.com/mx/motos/MX3265-bajaj-pulsar-f250</x:v>
      </x:c>
      <x:c r="H67" s="96" t="str">
        <x:v>APROBADA CON CORRECCIÓN</x:v>
      </x:c>
      <x:c r="I67" s="82" t="str">
        <x:v>La página comercial muestra erróneamente 200 cc/18.6 Nm en algunos campos; la F250 corresponde a la plataforma 249 cc.</x:v>
      </x:c>
    </x:row>
    <x:row r="68" ht="48" customHeight="1">
      <x:c r="A68" s="86" t="n">
        <x:v>67</x:v>
      </x:c>
      <x:c r="B68" s="86" t="str">
        <x:v>Pulsar F 250</x:v>
      </x:c>
      <x:c r="C68" s="86" t="n">
        <x:v>3</x:v>
      </x:c>
      <x:c r="D68" s="86" t="str">
        <x:v>Vista o color 3</x:v>
      </x:c>
      <x:c r="E68" s="86" t="str">
        <x:v>https://images.ctfassets.net/8zlbnewncp6f/7vU72EZ3rG34lvDP6CUCfu/efb6605fad3546fe2e036af73da522bb/Bajaj_Pulsar_F250_Galeria4_Galgo.png?fit=pad&amp;fm=webp&amp;h=100&amp;q=95&amp;w=100</x:v>
      </x:c>
      <x:c r="F68" s="86" t="str">
        <x:v>https://images.ctfassets.net/8zlbnewncp6f/7vU72EZ3rG34lvDP6CUCfu/efb6605fad3546fe2e036af73da522bb/Bajaj_Pulsar_F250_Galeria4_Galgo.png?fit=pad&amp;fm=webp&amp;h=1200&amp;q=95&amp;w=1600</x:v>
      </x:c>
      <x:c r="G68" s="86" t="str">
        <x:v>https://www.galgo.com/mx/motos/MX3265-bajaj-pulsar-f250</x:v>
      </x:c>
      <x:c r="H68" s="96" t="str">
        <x:v>APROBADA CON CORRECCIÓN</x:v>
      </x:c>
      <x:c r="I68" s="82" t="str">
        <x:v>La página comercial muestra erróneamente 200 cc/18.6 Nm en algunos campos; la F250 corresponde a la plataforma 249 cc.</x:v>
      </x:c>
    </x:row>
    <x:row r="69" ht="48" customHeight="1">
      <x:c r="A69" s="82" t="n">
        <x:v>68</x:v>
      </x:c>
      <x:c r="B69" s="82" t="str">
        <x:v>Pulsar F 250</x:v>
      </x:c>
      <x:c r="C69" s="82" t="n">
        <x:v>4</x:v>
      </x:c>
      <x:c r="D69" s="82" t="str">
        <x:v>Vista o detalle 4</x:v>
      </x:c>
      <x:c r="E69" s="82" t="str">
        <x:v>https://images.ctfassets.net/8zlbnewncp6f/hIWTawxGk1dhPw0BZqOJm/c0067ef5f412818b338432ac6161944d/Bajaj_Pulsar_F250_Galeria2_Galgo.png?fit=pad&amp;fm=webp&amp;h=100&amp;q=95&amp;w=100</x:v>
      </x:c>
      <x:c r="F69" s="82" t="str">
        <x:v>https://images.ctfassets.net/8zlbnewncp6f/hIWTawxGk1dhPw0BZqOJm/c0067ef5f412818b338432ac6161944d/Bajaj_Pulsar_F250_Galeria2_Galgo.png?fit=pad&amp;fm=webp&amp;h=1200&amp;q=95&amp;w=1600</x:v>
      </x:c>
      <x:c r="G69" s="82" t="str">
        <x:v>https://www.galgo.com/mx/motos/MX3265-bajaj-pulsar-f250</x:v>
      </x:c>
      <x:c r="H69" s="96" t="str">
        <x:v>APROBADA CON CORRECCIÓN</x:v>
      </x:c>
      <x:c r="I69" s="82" t="str">
        <x:v>La página comercial muestra erróneamente 200 cc/18.6 Nm en algunos campos; la F250 corresponde a la plataforma 249 cc.</x:v>
      </x:c>
    </x:row>
    <x:row r="70" ht="48" customHeight="1">
      <x:c r="A70" s="86" t="n">
        <x:v>69</x:v>
      </x:c>
      <x:c r="B70" s="86" t="str">
        <x:v>Pulsar NS 400 Z</x:v>
      </x:c>
      <x:c r="C70" s="86" t="n">
        <x:v>1</x:v>
      </x:c>
      <x:c r="D70" s="86" t="str">
        <x:v>Vista principal / color 1</x:v>
      </x:c>
      <x:c r="E70" s="86" t="str">
        <x:v>https://images.ctfassets.net/8zlbnewncp6f/2FmKm74RLvilDBdmUu6iny/ae3ee30fe70fb481dd86913423976a48/imagen_principal.jpg?fit=pad&amp;fm=webp&amp;h=100&amp;q=95&amp;w=100</x:v>
      </x:c>
      <x:c r="F70" s="86" t="str">
        <x:v>https://images.ctfassets.net/8zlbnewncp6f/2FmKm74RLvilDBdmUu6iny/ae3ee30fe70fb481dd86913423976a48/imagen_principal.jpg?fit=pad&amp;fm=webp&amp;h=1200&amp;q=95&amp;w=1600</x:v>
      </x:c>
      <x:c r="G70" s="86" t="str">
        <x:v>https://www.galgo.com/mx/motos/MX2889-bajaj-pulsar-ns-400z</x:v>
      </x:c>
      <x:c r="H70" s="88" t="str">
        <x:v>APROBADA</x:v>
      </x:c>
      <x:c r="I70" s="82" t="str">
        <x:v>NS400Z estándar. La fuente la muestra con cuatro modos de manejo y conectividad Bluetooth.</x:v>
      </x:c>
    </x:row>
    <x:row r="71" ht="48" customHeight="1">
      <x:c r="A71" s="82" t="n">
        <x:v>70</x:v>
      </x:c>
      <x:c r="B71" s="82" t="str">
        <x:v>Pulsar NS 400 Z</x:v>
      </x:c>
      <x:c r="C71" s="82" t="n">
        <x:v>2</x:v>
      </x:c>
      <x:c r="D71" s="82" t="str">
        <x:v>Vista o color 2</x:v>
      </x:c>
      <x:c r="E71" s="82" t="str">
        <x:v>https://images.ctfassets.net/8zlbnewncp6f/Z5N28UdsbwqSSgqdEQqTp/cc2de093a47e857937df2de716ea867c/Bajaj_Pulsar_NS_400z_01.jpg?fit=pad&amp;fm=webp&amp;h=100&amp;q=95&amp;w=100</x:v>
      </x:c>
      <x:c r="F71" s="82" t="str">
        <x:v>https://images.ctfassets.net/8zlbnewncp6f/Z5N28UdsbwqSSgqdEQqTp/cc2de093a47e857937df2de716ea867c/Bajaj_Pulsar_NS_400z_01.jpg?fit=pad&amp;fm=webp&amp;h=1200&amp;q=95&amp;w=1600</x:v>
      </x:c>
      <x:c r="G71" s="82" t="str">
        <x:v>https://www.galgo.com/mx/motos/MX2889-bajaj-pulsar-ns-400z</x:v>
      </x:c>
      <x:c r="H71" s="88" t="str">
        <x:v>APROBADA</x:v>
      </x:c>
      <x:c r="I71" s="82" t="str">
        <x:v>NS400Z estándar. La fuente la muestra con cuatro modos de manejo y conectividad Bluetooth.</x:v>
      </x:c>
    </x:row>
    <x:row r="72" ht="48" customHeight="1">
      <x:c r="A72" s="86" t="n">
        <x:v>71</x:v>
      </x:c>
      <x:c r="B72" s="86" t="str">
        <x:v>Pulsar NS 400 Z</x:v>
      </x:c>
      <x:c r="C72" s="86" t="n">
        <x:v>3</x:v>
      </x:c>
      <x:c r="D72" s="86" t="str">
        <x:v>Vista o color 3</x:v>
      </x:c>
      <x:c r="E72" s="86" t="str">
        <x:v>https://images.ctfassets.net/8zlbnewncp6f/5zspEsJvQkPYwH2WOYHzD/2f92f14519911ba4deda738a91c106f1/Bajaj_Pulsar_NS_400z_02.jpg?fit=pad&amp;fm=webp&amp;h=100&amp;q=95&amp;w=100</x:v>
      </x:c>
      <x:c r="F72" s="86" t="str">
        <x:v>https://images.ctfassets.net/8zlbnewncp6f/5zspEsJvQkPYwH2WOYHzD/2f92f14519911ba4deda738a91c106f1/Bajaj_Pulsar_NS_400z_02.jpg?fit=pad&amp;fm=webp&amp;h=1200&amp;q=95&amp;w=1600</x:v>
      </x:c>
      <x:c r="G72" s="86" t="str">
        <x:v>https://www.galgo.com/mx/motos/MX2889-bajaj-pulsar-ns-400z</x:v>
      </x:c>
      <x:c r="H72" s="88" t="str">
        <x:v>APROBADA</x:v>
      </x:c>
      <x:c r="I72" s="82" t="str">
        <x:v>NS400Z estándar. La fuente la muestra con cuatro modos de manejo y conectividad Bluetooth.</x:v>
      </x:c>
    </x:row>
    <x:row r="73" ht="48" customHeight="1">
      <x:c r="A73" s="82" t="n">
        <x:v>72</x:v>
      </x:c>
      <x:c r="B73" s="82" t="str">
        <x:v>Pulsar NS 400 Z</x:v>
      </x:c>
      <x:c r="C73" s="82" t="n">
        <x:v>4</x:v>
      </x:c>
      <x:c r="D73" s="82" t="str">
        <x:v>Vista o detalle 4</x:v>
      </x:c>
      <x:c r="E73" s="82" t="str">
        <x:v>https://images.ctfassets.net/8zlbnewncp6f/7sMRbIgNtKdlfz5T9ol0o0/70b5bf999687eeff10076a6a8532a3e1/Bajaj_Pulsar_NS_400z_03.jpg?fit=pad&amp;fm=webp&amp;h=100&amp;q=95&amp;w=100</x:v>
      </x:c>
      <x:c r="F73" s="82" t="str">
        <x:v>https://images.ctfassets.net/8zlbnewncp6f/7sMRbIgNtKdlfz5T9ol0o0/70b5bf999687eeff10076a6a8532a3e1/Bajaj_Pulsar_NS_400z_03.jpg?fit=pad&amp;fm=webp&amp;h=1200&amp;q=95&amp;w=1600</x:v>
      </x:c>
      <x:c r="G73" s="82" t="str">
        <x:v>https://www.galgo.com/mx/motos/MX2889-bajaj-pulsar-ns-400z</x:v>
      </x:c>
      <x:c r="H73" s="88" t="str">
        <x:v>APROBADA</x:v>
      </x:c>
      <x:c r="I73" s="82" t="str">
        <x:v>NS400Z estándar. La fuente la muestra con cuatro modos de manejo y conectividad Bluetooth.</x:v>
      </x:c>
    </x:row>
    <x:row r="74" ht="48" customHeight="1">
      <x:c r="A74" s="86" t="n">
        <x:v>73</x:v>
      </x:c>
      <x:c r="B74" s="86" t="str">
        <x:v>Pulsar NS 400 UG</x:v>
      </x:c>
      <x:c r="C74" s="86" t="n">
        <x:v>1</x:v>
      </x:c>
      <x:c r="D74" s="86" t="str">
        <x:v>Vista principal / color 1</x:v>
      </x:c>
      <x:c r="E74" s="86" t="str">
        <x:v>https://images.ctfassets.net/8zlbnewncp6f/2FmKm74RLvilDBdmUu6iny/ae3ee30fe70fb481dd86913423976a48/imagen_principal.jpg?fit=pad&amp;fm=webp&amp;h=100&amp;q=95&amp;w=100</x:v>
      </x:c>
      <x:c r="F74" s="86" t="str">
        <x:v>https://images.ctfassets.net/8zlbnewncp6f/2FmKm74RLvilDBdmUu6iny/ae3ee30fe70fb481dd86913423976a48/imagen_principal.jpg?fit=pad&amp;fm=webp&amp;h=1200&amp;q=95&amp;w=1600</x:v>
      </x:c>
      <x:c r="G74" s="86" t="str">
        <x:v>https://www.galgo.com/mx/motos/MX3566-bajaj-pulsar-ns-400z-ug</x:v>
      </x:c>
      <x:c r="H74" s="92" t="str">
        <x:v>REVISAR VERSIÓN</x:v>
      </x:c>
      <x:c r="I74" s="82" t="str">
        <x:v>La galería pública del modelo UG reutiliza las mismas imágenes de NS400Z. Confirmar cambios de equipamiento, gráficos y año de la unidad real.</x:v>
      </x:c>
    </x:row>
    <x:row r="75" ht="48" customHeight="1">
      <x:c r="A75" s="82" t="n">
        <x:v>74</x:v>
      </x:c>
      <x:c r="B75" s="82" t="str">
        <x:v>Pulsar NS 400 UG</x:v>
      </x:c>
      <x:c r="C75" s="82" t="n">
        <x:v>2</x:v>
      </x:c>
      <x:c r="D75" s="82" t="str">
        <x:v>Vista o color 2</x:v>
      </x:c>
      <x:c r="E75" s="82" t="str">
        <x:v>https://images.ctfassets.net/8zlbnewncp6f/Z5N28UdsbwqSSgqdEQqTp/cc2de093a47e857937df2de716ea867c/Bajaj_Pulsar_NS_400z_01.jpg?fit=pad&amp;fm=webp&amp;h=100&amp;q=95&amp;w=100</x:v>
      </x:c>
      <x:c r="F75" s="82" t="str">
        <x:v>https://images.ctfassets.net/8zlbnewncp6f/Z5N28UdsbwqSSgqdEQqTp/cc2de093a47e857937df2de716ea867c/Bajaj_Pulsar_NS_400z_01.jpg?fit=pad&amp;fm=webp&amp;h=1200&amp;q=95&amp;w=1600</x:v>
      </x:c>
      <x:c r="G75" s="82" t="str">
        <x:v>https://www.galgo.com/mx/motos/MX3566-bajaj-pulsar-ns-400z-ug</x:v>
      </x:c>
      <x:c r="H75" s="92" t="str">
        <x:v>REVISAR VERSIÓN</x:v>
      </x:c>
      <x:c r="I75" s="82" t="str">
        <x:v>La galería pública del modelo UG reutiliza las mismas imágenes de NS400Z. Confirmar cambios de equipamiento, gráficos y año de la unidad real.</x:v>
      </x:c>
    </x:row>
    <x:row r="76" ht="48" customHeight="1">
      <x:c r="A76" s="86" t="n">
        <x:v>75</x:v>
      </x:c>
      <x:c r="B76" s="86" t="str">
        <x:v>Pulsar NS 400 UG</x:v>
      </x:c>
      <x:c r="C76" s="86" t="n">
        <x:v>3</x:v>
      </x:c>
      <x:c r="D76" s="86" t="str">
        <x:v>Vista o color 3</x:v>
      </x:c>
      <x:c r="E76" s="86" t="str">
        <x:v>https://images.ctfassets.net/8zlbnewncp6f/5zspEsJvQkPYwH2WOYHzD/2f92f14519911ba4deda738a91c106f1/Bajaj_Pulsar_NS_400z_02.jpg?fit=pad&amp;fm=webp&amp;h=100&amp;q=95&amp;w=100</x:v>
      </x:c>
      <x:c r="F76" s="86" t="str">
        <x:v>https://images.ctfassets.net/8zlbnewncp6f/5zspEsJvQkPYwH2WOYHzD/2f92f14519911ba4deda738a91c106f1/Bajaj_Pulsar_NS_400z_02.jpg?fit=pad&amp;fm=webp&amp;h=1200&amp;q=95&amp;w=1600</x:v>
      </x:c>
      <x:c r="G76" s="86" t="str">
        <x:v>https://www.galgo.com/mx/motos/MX3566-bajaj-pulsar-ns-400z-ug</x:v>
      </x:c>
      <x:c r="H76" s="92" t="str">
        <x:v>REVISAR VERSIÓN</x:v>
      </x:c>
      <x:c r="I76" s="82" t="str">
        <x:v>La galería pública del modelo UG reutiliza las mismas imágenes de NS400Z. Confirmar cambios de equipamiento, gráficos y año de la unidad real.</x:v>
      </x:c>
    </x:row>
    <x:row r="77" ht="48" customHeight="1">
      <x:c r="A77" s="82" t="n">
        <x:v>76</x:v>
      </x:c>
      <x:c r="B77" s="82" t="str">
        <x:v>Pulsar NS 400 UG</x:v>
      </x:c>
      <x:c r="C77" s="82" t="n">
        <x:v>4</x:v>
      </x:c>
      <x:c r="D77" s="82" t="str">
        <x:v>Vista o detalle 4</x:v>
      </x:c>
      <x:c r="E77" s="82" t="str">
        <x:v>https://images.ctfassets.net/8zlbnewncp6f/7sMRbIgNtKdlfz5T9ol0o0/70b5bf999687eeff10076a6a8532a3e1/Bajaj_Pulsar_NS_400z_03.jpg?fit=pad&amp;fm=webp&amp;h=100&amp;q=95&amp;w=100</x:v>
      </x:c>
      <x:c r="F77" s="82" t="str">
        <x:v>https://images.ctfassets.net/8zlbnewncp6f/7sMRbIgNtKdlfz5T9ol0o0/70b5bf999687eeff10076a6a8532a3e1/Bajaj_Pulsar_NS_400z_03.jpg?fit=pad&amp;fm=webp&amp;h=1200&amp;q=95&amp;w=1600</x:v>
      </x:c>
      <x:c r="G77" s="82" t="str">
        <x:v>https://www.galgo.com/mx/motos/MX3566-bajaj-pulsar-ns-400z-ug</x:v>
      </x:c>
      <x:c r="H77" s="92" t="str">
        <x:v>REVISAR VERSIÓN</x:v>
      </x:c>
      <x:c r="I77" s="82" t="str">
        <x:v>La galería pública del modelo UG reutiliza las mismas imágenes de NS400Z. Confirmar cambios de equipamiento, gráficos y año de la unidad real.</x:v>
      </x:c>
    </x:row>
    <x:row r="78" ht="48" customHeight="1">
      <x:c r="A78" s="86" t="n">
        <x:v>77</x:v>
      </x:c>
      <x:c r="B78" s="86" t="str">
        <x:v>Pulsar 200 RS</x:v>
      </x:c>
      <x:c r="C78" s="86" t="n">
        <x:v>1</x:v>
      </x:c>
      <x:c r="D78" s="86" t="str">
        <x:v>Vista principal / color 1</x:v>
      </x:c>
      <x:c r="E78" s="86" t="str">
        <x:v>https://images.ctfassets.net/8zlbnewncp6f/3DiG5vbUlzNn2cnYuO6oad/20453f7c5a412ae9ea2aa815a6f8a390/bajaj-pulsar-rs-200-primer-plano.png?fit=pad&amp;fm=webp&amp;h=100&amp;q=95&amp;w=100</x:v>
      </x:c>
      <x:c r="F78" s="86" t="str">
        <x:v>https://images.ctfassets.net/8zlbnewncp6f/3DiG5vbUlzNn2cnYuO6oad/20453f7c5a412ae9ea2aa815a6f8a390/bajaj-pulsar-rs-200-primer-plano.png?fit=pad&amp;fm=webp&amp;h=1200&amp;q=95&amp;w=1600</x:v>
      </x:c>
      <x:c r="G78" s="86" t="str">
        <x:v>https://www.galgo.com/mx/motos/MX1333-bajaj-pulsar-rs-200</x:v>
      </x:c>
      <x:c r="H78" s="88" t="str">
        <x:v>APROBADA</x:v>
      </x:c>
      <x:c r="I78" s="82" t="str">
        <x:v>Fotos verificadas de carenado completo RS200, faro, tablero y motor.</x:v>
      </x:c>
    </x:row>
    <x:row r="79" ht="48" customHeight="1">
      <x:c r="A79" s="82" t="n">
        <x:v>78</x:v>
      </x:c>
      <x:c r="B79" s="82" t="str">
        <x:v>Pulsar 200 RS</x:v>
      </x:c>
      <x:c r="C79" s="82" t="n">
        <x:v>2</x:v>
      </x:c>
      <x:c r="D79" s="82" t="str">
        <x:v>Vista o color 2</x:v>
      </x:c>
      <x:c r="E79" s="82" t="str">
        <x:v>https://images.ctfassets.net/8zlbnewncp6f/2Jv1QbhUaS0GJ3LlqSu53O/7637da0d405737743991dc0979b6e188/bajaj-pulsar-rs-200-close-up-faro.jpg?fit=pad&amp;fm=webp&amp;h=100&amp;q=95&amp;w=100</x:v>
      </x:c>
      <x:c r="F79" s="82" t="str">
        <x:v>https://images.ctfassets.net/8zlbnewncp6f/2Jv1QbhUaS0GJ3LlqSu53O/7637da0d405737743991dc0979b6e188/bajaj-pulsar-rs-200-close-up-faro.jpg?fit=pad&amp;fm=webp&amp;h=1200&amp;q=95&amp;w=1600</x:v>
      </x:c>
      <x:c r="G79" s="82" t="str">
        <x:v>https://www.galgo.com/mx/motos/MX1333-bajaj-pulsar-rs-200</x:v>
      </x:c>
      <x:c r="H79" s="88" t="str">
        <x:v>APROBADA</x:v>
      </x:c>
      <x:c r="I79" s="82" t="str">
        <x:v>Fotos verificadas de carenado completo RS200, faro, tablero y motor.</x:v>
      </x:c>
    </x:row>
    <x:row r="80" ht="48" customHeight="1">
      <x:c r="A80" s="86" t="n">
        <x:v>79</x:v>
      </x:c>
      <x:c r="B80" s="86" t="str">
        <x:v>Pulsar 200 RS</x:v>
      </x:c>
      <x:c r="C80" s="86" t="n">
        <x:v>3</x:v>
      </x:c>
      <x:c r="D80" s="86" t="str">
        <x:v>Vista o color 3</x:v>
      </x:c>
      <x:c r="E80" s="86" t="str">
        <x:v>https://images.ctfassets.net/8zlbnewncp6f/5O8xoCzMiAL0xnqwTYElsi/6bc52bf0139991f16e69bd89657b7e3d/bajaj-pulsar-rs-200-close-up-tablero.jpg?fit=pad&amp;fm=webp&amp;h=100&amp;q=95&amp;w=100</x:v>
      </x:c>
      <x:c r="F80" s="86" t="str">
        <x:v>https://images.ctfassets.net/8zlbnewncp6f/5O8xoCzMiAL0xnqwTYElsi/6bc52bf0139991f16e69bd89657b7e3d/bajaj-pulsar-rs-200-close-up-tablero.jpg?fit=pad&amp;fm=webp&amp;h=1200&amp;q=95&amp;w=1600</x:v>
      </x:c>
      <x:c r="G80" s="86" t="str">
        <x:v>https://www.galgo.com/mx/motos/MX1333-bajaj-pulsar-rs-200</x:v>
      </x:c>
      <x:c r="H80" s="88" t="str">
        <x:v>APROBADA</x:v>
      </x:c>
      <x:c r="I80" s="82" t="str">
        <x:v>Fotos verificadas de carenado completo RS200, faro, tablero y motor.</x:v>
      </x:c>
    </x:row>
    <x:row r="81" ht="48" customHeight="1">
      <x:c r="A81" s="82" t="n">
        <x:v>80</x:v>
      </x:c>
      <x:c r="B81" s="82" t="str">
        <x:v>Pulsar 200 RS</x:v>
      </x:c>
      <x:c r="C81" s="82" t="n">
        <x:v>4</x:v>
      </x:c>
      <x:c r="D81" s="82" t="str">
        <x:v>Vista o detalle 4</x:v>
      </x:c>
      <x:c r="E81" s="82" t="str">
        <x:v>https://images.ctfassets.net/8zlbnewncp6f/3q9nZBJhOqRu46qXqKhEuv/9de96c83372a604dc3a295338c6fd470/bajaj-pulsar-rs-200-close-up-motor.jpg?fit=pad&amp;fm=webp&amp;h=100&amp;q=95&amp;w=100</x:v>
      </x:c>
      <x:c r="F81" s="82" t="str">
        <x:v>https://images.ctfassets.net/8zlbnewncp6f/3q9nZBJhOqRu46qXqKhEuv/9de96c83372a604dc3a295338c6fd470/bajaj-pulsar-rs-200-close-up-motor.jpg?fit=pad&amp;fm=webp&amp;h=1200&amp;q=95&amp;w=1600</x:v>
      </x:c>
      <x:c r="G81" s="82" t="str">
        <x:v>https://www.galgo.com/mx/motos/MX1333-bajaj-pulsar-rs-200</x:v>
      </x:c>
      <x:c r="H81" s="88" t="str">
        <x:v>APROBADA</x:v>
      </x:c>
      <x:c r="I81" s="82" t="str">
        <x:v>Fotos verificadas de carenado completo RS200, faro, tablero y motor.</x:v>
      </x:c>
    </x:row>
    <x:row r="83">
      <x:c r="A83" s="179" t="str">
        <x:v>Fuentes consultadas: páginas oficiales Bajaj México, Motos Bajaj México y fichas exactas de Galgo México. URLs incluidas en cada registro.</x:v>
      </x:c>
      <x:c r="B83" s="179"/>
      <x:c r="C83" s="179"/>
      <x:c r="D83" s="179"/>
      <x:c r="E83" s="179"/>
      <x:c r="F83" s="179"/>
      <x:c r="G83" s="179"/>
      <x:c r="H83" s="179"/>
      <x:c r="I83" s="179"/>
    </x:row>
  </x:sheetData>
  <x:mergeCells>
    <x:mergeCell ref="A83:I83"/>
  </x:mergeCells>
  <x:pageMargins left="0.7" right="0.7" top="0.75" bottom="0.75" header="0.3" footer="0.3"/>
  <x:tableParts count="1">
    <x:tablePart xmlns:r="http://schemas.openxmlformats.org/officeDocument/2006/relationships" r:id="Rf7ec407d5c8844f3"/>
  </x:tableParts>
</x:worksheet>
</file>