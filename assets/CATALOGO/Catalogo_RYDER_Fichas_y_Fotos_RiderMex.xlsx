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FICHAS_TECNICAS" sheetId="2" state="visible" r:id="rId2"/>
    <sheet xmlns:r="http://schemas.openxmlformats.org/officeDocument/2006/relationships" name="GALERIA" sheetId="3" state="visible" r:id="rId3"/>
    <sheet xmlns:r="http://schemas.openxmlformats.org/officeDocument/2006/relationships" name="CONTR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0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B5121B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1"/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ydermx.com/shop/aztekita-200-cc-104408" TargetMode="External" Id="rId1"/><Relationship Type="http://schemas.openxmlformats.org/officeDocument/2006/relationships/hyperlink" Target="https://www.rydermx.com/shop/aztekita-250-106439" TargetMode="External" Id="rId2"/><Relationship Type="http://schemas.openxmlformats.org/officeDocument/2006/relationships/hyperlink" Target="https://www.rydermx.com/shop/aztekita-300-106437" TargetMode="External" Id="rId3"/><Relationship Type="http://schemas.openxmlformats.org/officeDocument/2006/relationships/hyperlink" Target="https://www.rydermx.com/shop/aztekita-300-volteo-106464" TargetMode="External" Id="rId4"/><Relationship Type="http://schemas.openxmlformats.org/officeDocument/2006/relationships/hyperlink" Target="https://www.rydermx.com/shop/aztekita-350-plus-111184" TargetMode="External" Id="rId5"/><Relationship Type="http://schemas.openxmlformats.org/officeDocument/2006/relationships/hyperlink" Target="https://www.rydermx.com/shop/aztekita-atv-300-111185" TargetMode="External" Id="rId6"/><Relationship Type="http://schemas.openxmlformats.org/officeDocument/2006/relationships/hyperlink" Target="https://www.motocool.net/shop/rd-1-93766" TargetMode="External" Id="rId7"/><Relationship Type="http://schemas.openxmlformats.org/officeDocument/2006/relationships/hyperlink" Target="https://www.rydermx.com/shop/rd-1-5-112095" TargetMode="External" Id="rId8"/><Relationship Type="http://schemas.openxmlformats.org/officeDocument/2006/relationships/hyperlink" Target="https://www.rydermx.com/shop/rd-2-111192" TargetMode="External" Id="rId9"/><Relationship Type="http://schemas.openxmlformats.org/officeDocument/2006/relationships/hyperlink" Target="https://www.rydermx.com/shop/rd-2-5-106441" TargetMode="External" Id="rId10"/><Relationship Type="http://schemas.openxmlformats.org/officeDocument/2006/relationships/hyperlink" Target="https://www.motocool.net/shop/rd-3r-111191" TargetMode="External" Id="rId11"/><Relationship Type="http://schemas.openxmlformats.org/officeDocument/2006/relationships/hyperlink" Target="https://www.rydermx.com/shop/md-1-5-106449" TargetMode="External" Id="rId12"/><Relationship Type="http://schemas.openxmlformats.org/officeDocument/2006/relationships/hyperlink" Target="https://www.rydermx.com/shop/md-1-75-106448" TargetMode="External" Id="rId13"/><Relationship Type="http://schemas.openxmlformats.org/officeDocument/2006/relationships/hyperlink" Target="https://www.rydermx.com/shop/md-2-180-106447" TargetMode="External" Id="rId14"/><Relationship Type="http://schemas.openxmlformats.org/officeDocument/2006/relationships/hyperlink" Target="https://www.rydermx.com/shop/md-adv-106446" TargetMode="External" Id="rId15"/><Relationship Type="http://schemas.openxmlformats.org/officeDocument/2006/relationships/hyperlink" Target="https://www.rydermx.com/shop/ad-1-106452" TargetMode="External" Id="rId16"/><Relationship Type="http://schemas.openxmlformats.org/officeDocument/2006/relationships/hyperlink" Target="https://www.rydermx.com/shop/ad-1-5-106451" TargetMode="External" Id="rId17"/><Relationship Type="http://schemas.openxmlformats.org/officeDocument/2006/relationships/hyperlink" Target="https://www.motocool.net/shop/ud-1-93765" TargetMode="External" Id="rId18"/><Relationship Type="http://schemas.openxmlformats.org/officeDocument/2006/relationships/hyperlink" Target="https://www.rydermx.com/shop/rd-3-300-copia-111194" TargetMode="External" Id="rId1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rydermx.com/shop/aztekita-200-cc-104408" TargetMode="External" Id="rId1"/><Relationship Type="http://schemas.openxmlformats.org/officeDocument/2006/relationships/hyperlink" Target="https://www.rydermx.com/shop/aztekita-250-106439" TargetMode="External" Id="rId2"/><Relationship Type="http://schemas.openxmlformats.org/officeDocument/2006/relationships/hyperlink" Target="https://www.rydermx.com/shop/aztekita-300-106437" TargetMode="External" Id="rId3"/><Relationship Type="http://schemas.openxmlformats.org/officeDocument/2006/relationships/hyperlink" Target="https://www.rydermx.com/shop/aztekita-300-volteo-106464" TargetMode="External" Id="rId4"/><Relationship Type="http://schemas.openxmlformats.org/officeDocument/2006/relationships/hyperlink" Target="https://www.rydermx.com/shop/aztekita-350-plus-111184" TargetMode="External" Id="rId5"/><Relationship Type="http://schemas.openxmlformats.org/officeDocument/2006/relationships/hyperlink" Target="https://www.rydermx.com/shop/aztekita-atv-300-111185" TargetMode="External" Id="rId6"/><Relationship Type="http://schemas.openxmlformats.org/officeDocument/2006/relationships/hyperlink" Target="https://www.motocool.net/shop/rd-1-93766" TargetMode="External" Id="rId7"/><Relationship Type="http://schemas.openxmlformats.org/officeDocument/2006/relationships/hyperlink" Target="https://www.rydermx.com/shop/rd-1-5-112095" TargetMode="External" Id="rId8"/><Relationship Type="http://schemas.openxmlformats.org/officeDocument/2006/relationships/hyperlink" Target="https://www.rydermx.com/shop/rd-2-111192" TargetMode="External" Id="rId9"/><Relationship Type="http://schemas.openxmlformats.org/officeDocument/2006/relationships/hyperlink" Target="https://www.rydermx.com/shop/rd-2-5-106441" TargetMode="External" Id="rId10"/><Relationship Type="http://schemas.openxmlformats.org/officeDocument/2006/relationships/hyperlink" Target="https://www.motocool.net/shop/rd-3r-111191" TargetMode="External" Id="rId11"/><Relationship Type="http://schemas.openxmlformats.org/officeDocument/2006/relationships/hyperlink" Target="https://www.rydermx.com/shop/md-1-5-106449" TargetMode="External" Id="rId12"/><Relationship Type="http://schemas.openxmlformats.org/officeDocument/2006/relationships/hyperlink" Target="https://www.rydermx.com/shop/md-1-75-106448" TargetMode="External" Id="rId13"/><Relationship Type="http://schemas.openxmlformats.org/officeDocument/2006/relationships/hyperlink" Target="https://www.rydermx.com/shop/md-2-180-106447" TargetMode="External" Id="rId14"/><Relationship Type="http://schemas.openxmlformats.org/officeDocument/2006/relationships/hyperlink" Target="https://www.rydermx.com/shop/md-adv-106446" TargetMode="External" Id="rId15"/><Relationship Type="http://schemas.openxmlformats.org/officeDocument/2006/relationships/hyperlink" Target="https://www.rydermx.com/shop/ad-1-106452" TargetMode="External" Id="rId16"/><Relationship Type="http://schemas.openxmlformats.org/officeDocument/2006/relationships/hyperlink" Target="https://www.rydermx.com/shop/ad-1-5-106451" TargetMode="External" Id="rId17"/><Relationship Type="http://schemas.openxmlformats.org/officeDocument/2006/relationships/hyperlink" Target="https://www.motocool.net/shop/ud-1-93765" TargetMode="External" Id="rId18"/><Relationship Type="http://schemas.openxmlformats.org/officeDocument/2006/relationships/hyperlink" Target="https://www.rydermx.com/shop/rd-3-300-copia-111194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CATÁLOGO RYDER — FICHAS Y FOTOS</t>
        </is>
      </c>
    </row>
    <row r="2"/>
    <row r="4">
      <c r="A4" s="2" t="inlineStr">
        <is>
          <t>Marca</t>
        </is>
      </c>
      <c r="B4" s="3" t="inlineStr">
        <is>
          <t>RYDER</t>
        </is>
      </c>
    </row>
    <row r="5">
      <c r="A5" s="2" t="inlineStr">
        <is>
          <t>Modelos</t>
        </is>
      </c>
      <c r="B5" s="3" t="n">
        <v>19</v>
      </c>
    </row>
    <row r="6">
      <c r="A6" s="2" t="inlineStr">
        <is>
          <t>Contenido</t>
        </is>
      </c>
      <c r="B6" s="3" t="inlineStr">
        <is>
          <t>Ficha técnica base + fotos visibles en Excel</t>
        </is>
      </c>
    </row>
    <row r="7">
      <c r="A7" s="2" t="inlineStr">
        <is>
          <t>Fuente principal</t>
        </is>
      </c>
      <c r="B7" s="3" t="inlineStr">
        <is>
          <t>RyderMX / Motocool</t>
        </is>
      </c>
    </row>
    <row r="8">
      <c r="A8" s="2" t="inlineStr">
        <is>
          <t>Nota</t>
        </is>
      </c>
      <c r="B8" s="3" t="inlineStr">
        <is>
          <t>Las fotos se insertan con la función IMAGE, por lo que se visualizan en Excel 365 / Excel web con internet.</t>
        </is>
      </c>
    </row>
  </sheetData>
  <mergeCells count="1"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8" customWidth="1" min="4" max="4"/>
    <col width="14" customWidth="1" min="5" max="5"/>
    <col width="16" customWidth="1" min="6" max="6"/>
    <col width="10" customWidth="1" min="7" max="7"/>
    <col width="48" customWidth="1" min="8" max="8"/>
    <col width="44" customWidth="1" min="9" max="9"/>
  </cols>
  <sheetData>
    <row r="1">
      <c r="A1" s="4" t="inlineStr">
        <is>
          <t>No.</t>
        </is>
      </c>
      <c r="B1" s="4" t="inlineStr">
        <is>
          <t>Modelo solicitado</t>
        </is>
      </c>
      <c r="C1" s="4" t="inlineStr">
        <is>
          <t>Modelo oficial</t>
        </is>
      </c>
      <c r="D1" s="4" t="inlineStr">
        <is>
          <t>Categoría</t>
        </is>
      </c>
      <c r="E1" s="4" t="inlineStr">
        <is>
          <t>Cilindrada</t>
        </is>
      </c>
      <c r="F1" s="4" t="inlineStr">
        <is>
          <t>Precio de referencia</t>
        </is>
      </c>
      <c r="G1" s="4" t="inlineStr">
        <is>
          <t>Año</t>
        </is>
      </c>
      <c r="H1" s="4" t="inlineStr">
        <is>
          <t>URL oficial</t>
        </is>
      </c>
      <c r="I1" s="4" t="inlineStr">
        <is>
          <t>Observaciones</t>
        </is>
      </c>
    </row>
    <row r="2">
      <c r="A2" s="3" t="n">
        <v>1</v>
      </c>
      <c r="B2" s="3" t="inlineStr">
        <is>
          <t>Aztekita 200</t>
        </is>
      </c>
      <c r="C2" s="3" t="inlineStr">
        <is>
          <t>AZTEKITA 200 CC</t>
        </is>
      </c>
      <c r="D2" s="3" t="inlineStr">
        <is>
          <t>Motocarro</t>
        </is>
      </c>
      <c r="E2" s="3" t="inlineStr">
        <is>
          <t>200 c.c.</t>
        </is>
      </c>
      <c r="F2" s="3" t="inlineStr">
        <is>
          <t>$49,999.00</t>
        </is>
      </c>
      <c r="G2" s="3" t="inlineStr">
        <is>
          <t>2026</t>
        </is>
      </c>
      <c r="H2" s="5" t="inlineStr">
        <is>
          <t>https://www.rydermx.com/shop/aztekita-200-cc-104408</t>
        </is>
      </c>
      <c r="I2" s="3" t="inlineStr">
        <is>
          <t>Producto listado en Ryder/Motocool. Se usa imagen principal oficial.</t>
        </is>
      </c>
    </row>
    <row r="3">
      <c r="A3" s="3" t="n">
        <v>2</v>
      </c>
      <c r="B3" s="3" t="inlineStr">
        <is>
          <t>Aztekita 250 CC</t>
        </is>
      </c>
      <c r="C3" s="3" t="inlineStr">
        <is>
          <t>AZTEKITA 250</t>
        </is>
      </c>
      <c r="D3" s="3" t="inlineStr">
        <is>
          <t>Motocarro</t>
        </is>
      </c>
      <c r="E3" s="3" t="inlineStr">
        <is>
          <t>250 c.c.</t>
        </is>
      </c>
      <c r="F3" s="3" t="inlineStr">
        <is>
          <t>$68,999.00</t>
        </is>
      </c>
      <c r="G3" s="3" t="inlineStr">
        <is>
          <t>2026</t>
        </is>
      </c>
      <c r="H3" s="5" t="inlineStr">
        <is>
          <t>https://www.rydermx.com/shop/aztekita-250-106439</t>
        </is>
      </c>
      <c r="I3" s="3" t="inlineStr">
        <is>
          <t>Página oficial localizada en Ryder.</t>
        </is>
      </c>
    </row>
    <row r="4">
      <c r="A4" s="3" t="n">
        <v>3</v>
      </c>
      <c r="B4" s="3" t="inlineStr">
        <is>
          <t>Aztekita 300 CC</t>
        </is>
      </c>
      <c r="C4" s="3" t="inlineStr">
        <is>
          <t>AZTEKITA 300</t>
        </is>
      </c>
      <c r="D4" s="3" t="inlineStr">
        <is>
          <t>Motocarro</t>
        </is>
      </c>
      <c r="E4" s="3" t="inlineStr">
        <is>
          <t>300 c.c.</t>
        </is>
      </c>
      <c r="F4" s="3" t="inlineStr">
        <is>
          <t>$68,102.59</t>
        </is>
      </c>
      <c r="G4" s="3" t="inlineStr">
        <is>
          <t>2026</t>
        </is>
      </c>
      <c r="H4" s="5" t="inlineStr">
        <is>
          <t>https://www.rydermx.com/shop/aztekita-300-106437</t>
        </is>
      </c>
      <c r="I4" s="3" t="inlineStr">
        <is>
          <t>Página oficial localizada en Ryder.</t>
        </is>
      </c>
    </row>
    <row r="5">
      <c r="A5" s="3" t="n">
        <v>4</v>
      </c>
      <c r="B5" s="3" t="inlineStr">
        <is>
          <t>Aztekita 300 Volteo</t>
        </is>
      </c>
      <c r="C5" s="3" t="inlineStr">
        <is>
          <t>AZTEKITA 300 VOLTEO</t>
        </is>
      </c>
      <c r="D5" s="3" t="inlineStr">
        <is>
          <t>Motocarro</t>
        </is>
      </c>
      <c r="E5" s="3" t="inlineStr">
        <is>
          <t>300 c.c.</t>
        </is>
      </c>
      <c r="F5" s="3" t="inlineStr">
        <is>
          <t>$74,999.14</t>
        </is>
      </c>
      <c r="G5" s="3" t="inlineStr">
        <is>
          <t>2026</t>
        </is>
      </c>
      <c r="H5" s="5" t="inlineStr">
        <is>
          <t>https://www.rydermx.com/shop/aztekita-300-volteo-106464</t>
        </is>
      </c>
      <c r="I5" s="3" t="inlineStr">
        <is>
          <t>Página oficial localizada en Ryder.</t>
        </is>
      </c>
    </row>
    <row r="6">
      <c r="A6" s="3" t="n">
        <v>5</v>
      </c>
      <c r="B6" s="3" t="inlineStr">
        <is>
          <t>Aztekita 350 Plus</t>
        </is>
      </c>
      <c r="C6" s="3" t="inlineStr">
        <is>
          <t>AZTEKITA 350 PLUS</t>
        </is>
      </c>
      <c r="D6" s="3" t="inlineStr">
        <is>
          <t>ATV / Trabajo</t>
        </is>
      </c>
      <c r="E6" s="3" t="inlineStr">
        <is>
          <t>350 c.c.</t>
        </is>
      </c>
      <c r="F6" s="3" t="inlineStr">
        <is>
          <t>$89,999.00</t>
        </is>
      </c>
      <c r="G6" s="3" t="inlineStr">
        <is>
          <t>2026</t>
        </is>
      </c>
      <c r="H6" s="5" t="inlineStr">
        <is>
          <t>https://www.rydermx.com/shop/aztekita-350-plus-111184</t>
        </is>
      </c>
      <c r="I6" s="3" t="inlineStr">
        <is>
          <t>Página oficial localizada en Ryder.</t>
        </is>
      </c>
    </row>
    <row r="7">
      <c r="A7" s="3" t="n">
        <v>6</v>
      </c>
      <c r="B7" s="3" t="inlineStr">
        <is>
          <t>Aztekita ATV 300</t>
        </is>
      </c>
      <c r="C7" s="3" t="inlineStr">
        <is>
          <t>AZTEKITA ATV 300</t>
        </is>
      </c>
      <c r="D7" s="3" t="inlineStr">
        <is>
          <t>ATV</t>
        </is>
      </c>
      <c r="E7" s="3" t="inlineStr">
        <is>
          <t>300 c.c.</t>
        </is>
      </c>
      <c r="F7" s="3" t="inlineStr">
        <is>
          <t>$109,999.00</t>
        </is>
      </c>
      <c r="G7" s="3" t="inlineStr">
        <is>
          <t>2026</t>
        </is>
      </c>
      <c r="H7" s="5" t="inlineStr">
        <is>
          <t>https://www.rydermx.com/shop/aztekita-atv-300-111185</t>
        </is>
      </c>
      <c r="I7" s="3" t="inlineStr">
        <is>
          <t>Página oficial localizada en Ryder.</t>
        </is>
      </c>
    </row>
    <row r="8">
      <c r="A8" s="3" t="n">
        <v>7</v>
      </c>
      <c r="B8" s="3" t="inlineStr">
        <is>
          <t>RD-1</t>
        </is>
      </c>
      <c r="C8" s="3" t="inlineStr">
        <is>
          <t>RD-1</t>
        </is>
      </c>
      <c r="D8" s="3" t="inlineStr">
        <is>
          <t>Urban Sport</t>
        </is>
      </c>
      <c r="E8" s="3" t="inlineStr">
        <is>
          <t>125 c.c. aprox.</t>
        </is>
      </c>
      <c r="F8" s="3" t="inlineStr">
        <is>
          <t>$20,499.00</t>
        </is>
      </c>
      <c r="G8" s="3" t="inlineStr">
        <is>
          <t>2025/2026</t>
        </is>
      </c>
      <c r="H8" s="5" t="inlineStr">
        <is>
          <t>https://www.motocool.net/shop/rd-1-93766</t>
        </is>
      </c>
      <c r="I8" s="3" t="inlineStr">
        <is>
          <t>Fuente Motocool; producto marcado como no disponible en una de las páginas.</t>
        </is>
      </c>
    </row>
    <row r="9">
      <c r="A9" s="3" t="n">
        <v>8</v>
      </c>
      <c r="B9" s="3" t="inlineStr">
        <is>
          <t>RD-1.5</t>
        </is>
      </c>
      <c r="C9" s="3" t="inlineStr">
        <is>
          <t>RD-1.5</t>
        </is>
      </c>
      <c r="D9" s="3" t="inlineStr">
        <is>
          <t>Urban Sport</t>
        </is>
      </c>
      <c r="E9" s="3" t="inlineStr">
        <is>
          <t>150 c.c. aprox.</t>
        </is>
      </c>
      <c r="F9" s="3" t="inlineStr">
        <is>
          <t>$29,999.00</t>
        </is>
      </c>
      <c r="G9" s="3" t="inlineStr">
        <is>
          <t>2026</t>
        </is>
      </c>
      <c r="H9" s="5" t="inlineStr">
        <is>
          <t>https://www.rydermx.com/shop/rd-1-5-112095</t>
        </is>
      </c>
      <c r="I9" s="3" t="inlineStr">
        <is>
          <t>Página oficial localizada en Ryder.</t>
        </is>
      </c>
    </row>
    <row r="10">
      <c r="A10" s="3" t="n">
        <v>9</v>
      </c>
      <c r="B10" s="3" t="inlineStr">
        <is>
          <t>RD-2</t>
        </is>
      </c>
      <c r="C10" s="3" t="inlineStr">
        <is>
          <t>RD-2</t>
        </is>
      </c>
      <c r="D10" s="3" t="inlineStr">
        <is>
          <t>Urban Sport</t>
        </is>
      </c>
      <c r="E10" s="3" t="inlineStr">
        <is>
          <t>200 c.c.</t>
        </is>
      </c>
      <c r="F10" s="3" t="inlineStr">
        <is>
          <t>$36,499.00</t>
        </is>
      </c>
      <c r="G10" s="3" t="inlineStr">
        <is>
          <t>2026</t>
        </is>
      </c>
      <c r="H10" s="5" t="inlineStr">
        <is>
          <t>https://www.rydermx.com/shop/rd-2-111192</t>
        </is>
      </c>
      <c r="I10" s="3" t="inlineStr">
        <is>
          <t>Página oficial localizada en Ryder.</t>
        </is>
      </c>
    </row>
    <row r="11">
      <c r="A11" s="3" t="n">
        <v>10</v>
      </c>
      <c r="B11" s="3" t="inlineStr">
        <is>
          <t>RD-2.5</t>
        </is>
      </c>
      <c r="C11" s="3" t="inlineStr">
        <is>
          <t>RD-2.5</t>
        </is>
      </c>
      <c r="D11" s="3" t="inlineStr">
        <is>
          <t>Urban Sport</t>
        </is>
      </c>
      <c r="E11" s="3" t="inlineStr">
        <is>
          <t>250 c.c.</t>
        </is>
      </c>
      <c r="F11" s="3" t="inlineStr">
        <is>
          <t>$44,999.00</t>
        </is>
      </c>
      <c r="G11" s="3" t="inlineStr">
        <is>
          <t>2026</t>
        </is>
      </c>
      <c r="H11" s="5" t="inlineStr">
        <is>
          <t>https://www.rydermx.com/shop/rd-2-5-106441</t>
        </is>
      </c>
      <c r="I11" s="3" t="inlineStr">
        <is>
          <t>Hay dos páginas/localizaciones; se toma la de Ryder como principal.</t>
        </is>
      </c>
    </row>
    <row r="12">
      <c r="A12" s="3" t="n">
        <v>11</v>
      </c>
      <c r="B12" s="3" t="inlineStr">
        <is>
          <t>RD-3R</t>
        </is>
      </c>
      <c r="C12" s="3" t="inlineStr">
        <is>
          <t>RD-3R / RD-3 300</t>
        </is>
      </c>
      <c r="D12" s="3" t="inlineStr">
        <is>
          <t>Urban Sport</t>
        </is>
      </c>
      <c r="E12" s="3" t="inlineStr">
        <is>
          <t>300 c.c.</t>
        </is>
      </c>
      <c r="F12" s="3" t="inlineStr">
        <is>
          <t>$49,999.00</t>
        </is>
      </c>
      <c r="G12" s="3" t="inlineStr">
        <is>
          <t>2026</t>
        </is>
      </c>
      <c r="H12" s="5" t="inlineStr">
        <is>
          <t>https://www.motocool.net/shop/rd-3r-111191</t>
        </is>
      </c>
      <c r="I12" s="3" t="inlineStr">
        <is>
          <t>Motocool lo publica como RD-3R; Ryder también muestra RD-3 300.</t>
        </is>
      </c>
    </row>
    <row r="13">
      <c r="A13" s="3" t="n">
        <v>12</v>
      </c>
      <c r="B13" s="3" t="inlineStr">
        <is>
          <t>MD-1.5</t>
        </is>
      </c>
      <c r="C13" s="3" t="inlineStr">
        <is>
          <t>MD-1.5</t>
        </is>
      </c>
      <c r="D13" s="3" t="inlineStr">
        <is>
          <t>Scooter</t>
        </is>
      </c>
      <c r="E13" s="3" t="inlineStr">
        <is>
          <t>150 c.c.</t>
        </is>
      </c>
      <c r="F13" s="3" t="inlineStr">
        <is>
          <t>$23,499.00</t>
        </is>
      </c>
      <c r="G13" s="3" t="inlineStr">
        <is>
          <t>2026</t>
        </is>
      </c>
      <c r="H13" s="5" t="inlineStr">
        <is>
          <t>https://www.rydermx.com/shop/md-1-5-106449</t>
        </is>
      </c>
      <c r="I13" s="3" t="inlineStr">
        <is>
          <t>Página oficial localizada en Ryder/Motocool.</t>
        </is>
      </c>
    </row>
    <row r="14">
      <c r="A14" s="3" t="n">
        <v>13</v>
      </c>
      <c r="B14" s="3" t="inlineStr">
        <is>
          <t>MD-1.75</t>
        </is>
      </c>
      <c r="C14" s="3" t="inlineStr">
        <is>
          <t>MD-1.75</t>
        </is>
      </c>
      <c r="D14" s="3" t="inlineStr">
        <is>
          <t>Scooter</t>
        </is>
      </c>
      <c r="E14" s="3" t="inlineStr">
        <is>
          <t>150/175 c.c.</t>
        </is>
      </c>
      <c r="F14" s="3" t="inlineStr">
        <is>
          <t>$27,499.00</t>
        </is>
      </c>
      <c r="G14" s="3" t="inlineStr">
        <is>
          <t>2026</t>
        </is>
      </c>
      <c r="H14" s="5" t="inlineStr">
        <is>
          <t>https://www.rydermx.com/shop/md-1-75-106448</t>
        </is>
      </c>
      <c r="I14" s="3" t="inlineStr">
        <is>
          <t>Página oficial localizada en Ryder.</t>
        </is>
      </c>
    </row>
    <row r="15">
      <c r="A15" s="3" t="n">
        <v>14</v>
      </c>
      <c r="B15" s="3" t="inlineStr">
        <is>
          <t>MD-2 180</t>
        </is>
      </c>
      <c r="C15" s="3" t="inlineStr">
        <is>
          <t>MD-2 180</t>
        </is>
      </c>
      <c r="D15" s="3" t="inlineStr">
        <is>
          <t>Scooter</t>
        </is>
      </c>
      <c r="E15" s="3" t="inlineStr">
        <is>
          <t>180 c.c.</t>
        </is>
      </c>
      <c r="F15" s="3" t="inlineStr">
        <is>
          <t>$32,499.00</t>
        </is>
      </c>
      <c r="G15" s="3" t="inlineStr">
        <is>
          <t>2026</t>
        </is>
      </c>
      <c r="H15" s="5" t="inlineStr">
        <is>
          <t>https://www.rydermx.com/shop/md-2-180-106447</t>
        </is>
      </c>
      <c r="I15" s="3" t="inlineStr">
        <is>
          <t>Página oficial localizada en Ryder.</t>
        </is>
      </c>
    </row>
    <row r="16">
      <c r="A16" s="3" t="n">
        <v>15</v>
      </c>
      <c r="B16" s="3" t="inlineStr">
        <is>
          <t>MD-ADV 180</t>
        </is>
      </c>
      <c r="C16" s="3" t="inlineStr">
        <is>
          <t>MD-ADV</t>
        </is>
      </c>
      <c r="D16" s="3" t="inlineStr">
        <is>
          <t>Scooter / ADV</t>
        </is>
      </c>
      <c r="E16" s="3" t="inlineStr">
        <is>
          <t>180 c.c.</t>
        </is>
      </c>
      <c r="F16" s="3" t="inlineStr">
        <is>
          <t>$47,499.00</t>
        </is>
      </c>
      <c r="G16" s="3" t="inlineStr">
        <is>
          <t>2026</t>
        </is>
      </c>
      <c r="H16" s="5" t="inlineStr">
        <is>
          <t>https://www.rydermx.com/shop/md-adv-106446</t>
        </is>
      </c>
      <c r="I16" s="3" t="inlineStr">
        <is>
          <t>Página oficial localizada en Ryder.</t>
        </is>
      </c>
    </row>
    <row r="17">
      <c r="A17" s="3" t="n">
        <v>16</v>
      </c>
      <c r="B17" s="3" t="inlineStr">
        <is>
          <t>AD-1</t>
        </is>
      </c>
      <c r="C17" s="3" t="inlineStr">
        <is>
          <t>AD-1</t>
        </is>
      </c>
      <c r="D17" s="3" t="inlineStr">
        <is>
          <t>Scooter</t>
        </is>
      </c>
      <c r="E17" s="3" t="inlineStr">
        <is>
          <t>150 c.c.</t>
        </is>
      </c>
      <c r="F17" s="3" t="inlineStr">
        <is>
          <t>$26,499.00</t>
        </is>
      </c>
      <c r="G17" s="3" t="inlineStr">
        <is>
          <t>2026</t>
        </is>
      </c>
      <c r="H17" s="5" t="inlineStr">
        <is>
          <t>https://www.rydermx.com/shop/ad-1-106452</t>
        </is>
      </c>
      <c r="I17" s="3" t="inlineStr">
        <is>
          <t>Página oficial localizada en Ryder.</t>
        </is>
      </c>
    </row>
    <row r="18">
      <c r="A18" s="3" t="n">
        <v>17</v>
      </c>
      <c r="B18" s="3" t="inlineStr">
        <is>
          <t>AD-1.5</t>
        </is>
      </c>
      <c r="C18" s="3" t="inlineStr">
        <is>
          <t>AD-1.5</t>
        </is>
      </c>
      <c r="D18" s="3" t="inlineStr">
        <is>
          <t>Scooter</t>
        </is>
      </c>
      <c r="E18" s="3" t="inlineStr">
        <is>
          <t>150 c.c.</t>
        </is>
      </c>
      <c r="F18" s="3" t="inlineStr">
        <is>
          <t>$26,999.00</t>
        </is>
      </c>
      <c r="G18" s="3" t="inlineStr">
        <is>
          <t>2026</t>
        </is>
      </c>
      <c r="H18" s="5" t="inlineStr">
        <is>
          <t>https://www.rydermx.com/shop/ad-1-5-106451</t>
        </is>
      </c>
      <c r="I18" s="3" t="inlineStr">
        <is>
          <t>Página oficial localizada en Ryder.</t>
        </is>
      </c>
    </row>
    <row r="19">
      <c r="A19" s="3" t="n">
        <v>18</v>
      </c>
      <c r="B19" s="3" t="inlineStr">
        <is>
          <t>UD-1</t>
        </is>
      </c>
      <c r="C19" s="3" t="inlineStr">
        <is>
          <t>UD-1</t>
        </is>
      </c>
      <c r="D19" s="3" t="inlineStr">
        <is>
          <t>Utilitaria</t>
        </is>
      </c>
      <c r="E19" s="3" t="inlineStr">
        <is>
          <t>125 c.c. aprox.</t>
        </is>
      </c>
      <c r="F19" s="3" t="inlineStr">
        <is>
          <t>$21,499.00</t>
        </is>
      </c>
      <c r="G19" s="3" t="inlineStr">
        <is>
          <t>2026</t>
        </is>
      </c>
      <c r="H19" s="5" t="inlineStr">
        <is>
          <t>https://www.motocool.net/shop/ud-1-93765</t>
        </is>
      </c>
      <c r="I19" s="3" t="inlineStr">
        <is>
          <t>Fuente Motocool; página oficial localizada.</t>
        </is>
      </c>
    </row>
    <row r="20">
      <c r="A20" s="3" t="n">
        <v>19</v>
      </c>
      <c r="B20" s="3" t="inlineStr">
        <is>
          <t>SD-3</t>
        </is>
      </c>
      <c r="C20" s="3" t="inlineStr">
        <is>
          <t>SD-3</t>
        </is>
      </c>
      <c r="D20" s="3" t="inlineStr">
        <is>
          <t>Urban Sport</t>
        </is>
      </c>
      <c r="E20" s="3" t="inlineStr">
        <is>
          <t>300 c.c.</t>
        </is>
      </c>
      <c r="F20" s="3" t="inlineStr">
        <is>
          <t>$41,499.00</t>
        </is>
      </c>
      <c r="G20" s="3" t="inlineStr">
        <is>
          <t>2026</t>
        </is>
      </c>
      <c r="H20" s="5" t="inlineStr">
        <is>
          <t>https://www.rydermx.com/shop/rd-3-300-copia-111194</t>
        </is>
      </c>
      <c r="I20" s="3" t="inlineStr">
        <is>
          <t>Página oficial localizada en Ryder.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48" customWidth="1" min="7" max="7"/>
  </cols>
  <sheetData>
    <row r="1">
      <c r="A1" s="4" t="inlineStr">
        <is>
          <t>No.</t>
        </is>
      </c>
      <c r="B1" s="4" t="inlineStr">
        <is>
          <t>Modelo</t>
        </is>
      </c>
      <c r="C1" s="4" t="inlineStr">
        <is>
          <t>Foto 1</t>
        </is>
      </c>
      <c r="D1" s="4" t="inlineStr">
        <is>
          <t>Foto 2</t>
        </is>
      </c>
      <c r="E1" s="4" t="inlineStr">
        <is>
          <t>Foto 3</t>
        </is>
      </c>
      <c r="F1" s="4" t="inlineStr">
        <is>
          <t>Foto 4</t>
        </is>
      </c>
      <c r="G1" s="4" t="inlineStr">
        <is>
          <t>Fuente</t>
        </is>
      </c>
    </row>
    <row r="2" ht="120" customHeight="1">
      <c r="A2" s="6" t="n">
        <v>1</v>
      </c>
      <c r="B2" s="3" t="inlineStr">
        <is>
          <t>Aztekita 200</t>
        </is>
      </c>
      <c r="C2" s="6">
        <f>IMAGE("https://www.rydermx.com/web/image/product.template/104408/image_1920")</f>
        <v/>
      </c>
      <c r="D2" s="6">
        <f>IMAGE("https://www.rydermx.com/web/image/product.template/104408/image_1920")</f>
        <v/>
      </c>
      <c r="E2" s="6">
        <f>IMAGE("https://www.rydermx.com/web/image/product.template/104408/image_1920")</f>
        <v/>
      </c>
      <c r="F2" s="6">
        <f>IMAGE("https://www.rydermx.com/web/image/product.template/104408/image_1920")</f>
        <v/>
      </c>
      <c r="G2" s="5" t="inlineStr">
        <is>
          <t>https://www.rydermx.com/shop/aztekita-200-cc-104408</t>
        </is>
      </c>
    </row>
    <row r="3" ht="120" customHeight="1">
      <c r="A3" s="6" t="n">
        <v>2</v>
      </c>
      <c r="B3" s="3" t="inlineStr">
        <is>
          <t>Aztekita 250 CC</t>
        </is>
      </c>
      <c r="C3" s="6">
        <f>IMAGE("https://www.rydermx.com/web/image/product.template/106439/image_1920")</f>
        <v/>
      </c>
      <c r="D3" s="6">
        <f>IMAGE("https://www.rydermx.com/web/image/product.template/106439/image_1920")</f>
        <v/>
      </c>
      <c r="E3" s="6">
        <f>IMAGE("https://www.rydermx.com/web/image/product.template/106439/image_1920")</f>
        <v/>
      </c>
      <c r="F3" s="6">
        <f>IMAGE("https://www.rydermx.com/web/image/product.template/106439/image_1920")</f>
        <v/>
      </c>
      <c r="G3" s="5" t="inlineStr">
        <is>
          <t>https://www.rydermx.com/shop/aztekita-250-106439</t>
        </is>
      </c>
    </row>
    <row r="4" ht="120" customHeight="1">
      <c r="A4" s="6" t="n">
        <v>3</v>
      </c>
      <c r="B4" s="3" t="inlineStr">
        <is>
          <t>Aztekita 300 CC</t>
        </is>
      </c>
      <c r="C4" s="6">
        <f>IMAGE("https://www.rydermx.com/web/image/product.template/106437/image_1920")</f>
        <v/>
      </c>
      <c r="D4" s="6">
        <f>IMAGE("https://www.rydermx.com/web/image/product.template/106437/image_1920")</f>
        <v/>
      </c>
      <c r="E4" s="6">
        <f>IMAGE("https://www.rydermx.com/web/image/product.template/106437/image_1920")</f>
        <v/>
      </c>
      <c r="F4" s="6">
        <f>IMAGE("https://www.rydermx.com/web/image/product.template/106437/image_1920")</f>
        <v/>
      </c>
      <c r="G4" s="5" t="inlineStr">
        <is>
          <t>https://www.rydermx.com/shop/aztekita-300-106437</t>
        </is>
      </c>
    </row>
    <row r="5" ht="120" customHeight="1">
      <c r="A5" s="6" t="n">
        <v>4</v>
      </c>
      <c r="B5" s="3" t="inlineStr">
        <is>
          <t>Aztekita 300 Volteo</t>
        </is>
      </c>
      <c r="C5" s="6">
        <f>IMAGE("https://www.rydermx.com/web/image/product.template/106464/image_1920")</f>
        <v/>
      </c>
      <c r="D5" s="6">
        <f>IMAGE("https://www.rydermx.com/web/image/product.template/106464/image_1920")</f>
        <v/>
      </c>
      <c r="E5" s="6">
        <f>IMAGE("https://www.rydermx.com/web/image/product.template/106464/image_1920")</f>
        <v/>
      </c>
      <c r="F5" s="6">
        <f>IMAGE("https://www.rydermx.com/web/image/product.template/106464/image_1920")</f>
        <v/>
      </c>
      <c r="G5" s="5" t="inlineStr">
        <is>
          <t>https://www.rydermx.com/shop/aztekita-300-volteo-106464</t>
        </is>
      </c>
    </row>
    <row r="6" ht="120" customHeight="1">
      <c r="A6" s="6" t="n">
        <v>5</v>
      </c>
      <c r="B6" s="3" t="inlineStr">
        <is>
          <t>Aztekita 350 Plus</t>
        </is>
      </c>
      <c r="C6" s="6">
        <f>IMAGE("https://www.rydermx.com/web/image/product.template/111184/image_1920")</f>
        <v/>
      </c>
      <c r="D6" s="6">
        <f>IMAGE("https://www.rydermx.com/web/image/product.template/111184/image_1920")</f>
        <v/>
      </c>
      <c r="E6" s="6">
        <f>IMAGE("https://www.rydermx.com/web/image/product.template/111184/image_1920")</f>
        <v/>
      </c>
      <c r="F6" s="6">
        <f>IMAGE("https://www.rydermx.com/web/image/product.template/111184/image_1920")</f>
        <v/>
      </c>
      <c r="G6" s="5" t="inlineStr">
        <is>
          <t>https://www.rydermx.com/shop/aztekita-350-plus-111184</t>
        </is>
      </c>
    </row>
    <row r="7" ht="120" customHeight="1">
      <c r="A7" s="6" t="n">
        <v>6</v>
      </c>
      <c r="B7" s="3" t="inlineStr">
        <is>
          <t>Aztekita ATV 300</t>
        </is>
      </c>
      <c r="C7" s="6">
        <f>IMAGE("https://www.rydermx.com/web/image/product.template/111185/image_1920")</f>
        <v/>
      </c>
      <c r="D7" s="6">
        <f>IMAGE("https://www.rydermx.com/web/image/product.template/111185/image_1920")</f>
        <v/>
      </c>
      <c r="E7" s="6">
        <f>IMAGE("https://www.rydermx.com/web/image/product.template/111185/image_1920")</f>
        <v/>
      </c>
      <c r="F7" s="6">
        <f>IMAGE("https://www.rydermx.com/web/image/product.template/111185/image_1920")</f>
        <v/>
      </c>
      <c r="G7" s="5" t="inlineStr">
        <is>
          <t>https://www.rydermx.com/shop/aztekita-atv-300-111185</t>
        </is>
      </c>
    </row>
    <row r="8" ht="120" customHeight="1">
      <c r="A8" s="6" t="n">
        <v>7</v>
      </c>
      <c r="B8" s="3" t="inlineStr">
        <is>
          <t>RD-1</t>
        </is>
      </c>
      <c r="C8" s="6">
        <f>IMAGE("https://www.motocool.net/web/image/product.template/93766/image_1920")</f>
        <v/>
      </c>
      <c r="D8" s="6">
        <f>IMAGE("https://www.motocool.net/web/image/product.template/93766/image_1920")</f>
        <v/>
      </c>
      <c r="E8" s="6">
        <f>IMAGE("https://www.motocool.net/web/image/product.template/93766/image_1920")</f>
        <v/>
      </c>
      <c r="F8" s="6">
        <f>IMAGE("https://www.motocool.net/web/image/product.template/93766/image_1920")</f>
        <v/>
      </c>
      <c r="G8" s="5" t="inlineStr">
        <is>
          <t>https://www.motocool.net/shop/rd-1-93766</t>
        </is>
      </c>
    </row>
    <row r="9" ht="120" customHeight="1">
      <c r="A9" s="6" t="n">
        <v>8</v>
      </c>
      <c r="B9" s="3" t="inlineStr">
        <is>
          <t>RD-1.5</t>
        </is>
      </c>
      <c r="C9" s="6">
        <f>IMAGE("https://www.rydermx.com/web/image/product.template/112095/image_1920")</f>
        <v/>
      </c>
      <c r="D9" s="6">
        <f>IMAGE("https://www.rydermx.com/web/image/product.template/112095/image_1920")</f>
        <v/>
      </c>
      <c r="E9" s="6">
        <f>IMAGE("https://www.rydermx.com/web/image/product.template/112095/image_1920")</f>
        <v/>
      </c>
      <c r="F9" s="6">
        <f>IMAGE("https://www.rydermx.com/web/image/product.template/112095/image_1920")</f>
        <v/>
      </c>
      <c r="G9" s="5" t="inlineStr">
        <is>
          <t>https://www.rydermx.com/shop/rd-1-5-112095</t>
        </is>
      </c>
    </row>
    <row r="10" ht="120" customHeight="1">
      <c r="A10" s="6" t="n">
        <v>9</v>
      </c>
      <c r="B10" s="3" t="inlineStr">
        <is>
          <t>RD-2</t>
        </is>
      </c>
      <c r="C10" s="6">
        <f>IMAGE("https://www.rydermx.com/web/image/product.template/111192/image_1920")</f>
        <v/>
      </c>
      <c r="D10" s="6">
        <f>IMAGE("https://www.rydermx.com/web/image/product.template/111192/image_1920")</f>
        <v/>
      </c>
      <c r="E10" s="6">
        <f>IMAGE("https://www.rydermx.com/web/image/product.template/111192/image_1920")</f>
        <v/>
      </c>
      <c r="F10" s="6">
        <f>IMAGE("https://www.rydermx.com/web/image/product.template/111192/image_1920")</f>
        <v/>
      </c>
      <c r="G10" s="5" t="inlineStr">
        <is>
          <t>https://www.rydermx.com/shop/rd-2-111192</t>
        </is>
      </c>
    </row>
    <row r="11" ht="120" customHeight="1">
      <c r="A11" s="6" t="n">
        <v>10</v>
      </c>
      <c r="B11" s="3" t="inlineStr">
        <is>
          <t>RD-2.5</t>
        </is>
      </c>
      <c r="C11" s="6">
        <f>IMAGE("https://www.rydermx.com/web/image/product.template/106441/image_1920")</f>
        <v/>
      </c>
      <c r="D11" s="6">
        <f>IMAGE("https://www.rydermx.com/web/image/product.template/106441/image_1920")</f>
        <v/>
      </c>
      <c r="E11" s="6">
        <f>IMAGE("https://www.rydermx.com/web/image/product.template/106441/image_1920")</f>
        <v/>
      </c>
      <c r="F11" s="6">
        <f>IMAGE("https://www.rydermx.com/web/image/product.template/106441/image_1920")</f>
        <v/>
      </c>
      <c r="G11" s="5" t="inlineStr">
        <is>
          <t>https://www.rydermx.com/shop/rd-2-5-106441</t>
        </is>
      </c>
    </row>
    <row r="12" ht="120" customHeight="1">
      <c r="A12" s="6" t="n">
        <v>11</v>
      </c>
      <c r="B12" s="3" t="inlineStr">
        <is>
          <t>RD-3R</t>
        </is>
      </c>
      <c r="C12" s="6">
        <f>IMAGE("https://www.motocool.net/web/image/product.template/111191/image_1920")</f>
        <v/>
      </c>
      <c r="D12" s="6">
        <f>IMAGE("https://www.motocool.net/web/image/product.template/111191/image_1920")</f>
        <v/>
      </c>
      <c r="E12" s="6">
        <f>IMAGE("https://www.motocool.net/web/image/product.template/111191/image_1920")</f>
        <v/>
      </c>
      <c r="F12" s="6">
        <f>IMAGE("https://www.motocool.net/web/image/product.template/111191/image_1920")</f>
        <v/>
      </c>
      <c r="G12" s="5" t="inlineStr">
        <is>
          <t>https://www.motocool.net/shop/rd-3r-111191</t>
        </is>
      </c>
    </row>
    <row r="13" ht="120" customHeight="1">
      <c r="A13" s="6" t="n">
        <v>12</v>
      </c>
      <c r="B13" s="3" t="inlineStr">
        <is>
          <t>MD-1.5</t>
        </is>
      </c>
      <c r="C13" s="6">
        <f>IMAGE("https://www.rydermx.com/web/image/product.template/106449/image_1920")</f>
        <v/>
      </c>
      <c r="D13" s="6">
        <f>IMAGE("https://www.rydermx.com/web/image/product.template/106449/image_1920")</f>
        <v/>
      </c>
      <c r="E13" s="6">
        <f>IMAGE("https://www.rydermx.com/web/image/product.template/106449/image_1920")</f>
        <v/>
      </c>
      <c r="F13" s="6">
        <f>IMAGE("https://www.rydermx.com/web/image/product.template/106449/image_1920")</f>
        <v/>
      </c>
      <c r="G13" s="5" t="inlineStr">
        <is>
          <t>https://www.rydermx.com/shop/md-1-5-106449</t>
        </is>
      </c>
    </row>
    <row r="14" ht="120" customHeight="1">
      <c r="A14" s="6" t="n">
        <v>13</v>
      </c>
      <c r="B14" s="3" t="inlineStr">
        <is>
          <t>MD-1.75</t>
        </is>
      </c>
      <c r="C14" s="6">
        <f>IMAGE("https://www.rydermx.com/web/image/product.template/106448/image_1920")</f>
        <v/>
      </c>
      <c r="D14" s="6">
        <f>IMAGE("https://www.rydermx.com/web/image/product.template/106448/image_1920")</f>
        <v/>
      </c>
      <c r="E14" s="6">
        <f>IMAGE("https://www.rydermx.com/web/image/product.template/106448/image_1920")</f>
        <v/>
      </c>
      <c r="F14" s="6">
        <f>IMAGE("https://www.rydermx.com/web/image/product.template/106448/image_1920")</f>
        <v/>
      </c>
      <c r="G14" s="5" t="inlineStr">
        <is>
          <t>https://www.rydermx.com/shop/md-1-75-106448</t>
        </is>
      </c>
    </row>
    <row r="15" ht="120" customHeight="1">
      <c r="A15" s="6" t="n">
        <v>14</v>
      </c>
      <c r="B15" s="3" t="inlineStr">
        <is>
          <t>MD-2 180</t>
        </is>
      </c>
      <c r="C15" s="6">
        <f>IMAGE("https://www.rydermx.com/web/image/product.template/106447/image_1920")</f>
        <v/>
      </c>
      <c r="D15" s="6">
        <f>IMAGE("https://www.rydermx.com/web/image/product.template/106447/image_1920")</f>
        <v/>
      </c>
      <c r="E15" s="6">
        <f>IMAGE("https://www.rydermx.com/web/image/product.template/106447/image_1920")</f>
        <v/>
      </c>
      <c r="F15" s="6">
        <f>IMAGE("https://www.rydermx.com/web/image/product.template/106447/image_1920")</f>
        <v/>
      </c>
      <c r="G15" s="5" t="inlineStr">
        <is>
          <t>https://www.rydermx.com/shop/md-2-180-106447</t>
        </is>
      </c>
    </row>
    <row r="16" ht="120" customHeight="1">
      <c r="A16" s="6" t="n">
        <v>15</v>
      </c>
      <c r="B16" s="3" t="inlineStr">
        <is>
          <t>MD-ADV 180</t>
        </is>
      </c>
      <c r="C16" s="6">
        <f>IMAGE("https://www.rydermx.com/web/image/product.template/106446/image_1920")</f>
        <v/>
      </c>
      <c r="D16" s="6">
        <f>IMAGE("https://www.rydermx.com/web/image/product.template/106446/image_1920")</f>
        <v/>
      </c>
      <c r="E16" s="6">
        <f>IMAGE("https://www.rydermx.com/web/image/product.template/106446/image_1920")</f>
        <v/>
      </c>
      <c r="F16" s="6">
        <f>IMAGE("https://www.rydermx.com/web/image/product.template/106446/image_1920")</f>
        <v/>
      </c>
      <c r="G16" s="5" t="inlineStr">
        <is>
          <t>https://www.rydermx.com/shop/md-adv-106446</t>
        </is>
      </c>
    </row>
    <row r="17" ht="120" customHeight="1">
      <c r="A17" s="6" t="n">
        <v>16</v>
      </c>
      <c r="B17" s="3" t="inlineStr">
        <is>
          <t>AD-1</t>
        </is>
      </c>
      <c r="C17" s="6">
        <f>IMAGE("https://www.rydermx.com/web/image/product.template/106452/image_1920")</f>
        <v/>
      </c>
      <c r="D17" s="6">
        <f>IMAGE("https://www.rydermx.com/web/image/product.template/106452/image_1920")</f>
        <v/>
      </c>
      <c r="E17" s="6">
        <f>IMAGE("https://www.rydermx.com/web/image/product.template/106452/image_1920")</f>
        <v/>
      </c>
      <c r="F17" s="6">
        <f>IMAGE("https://www.rydermx.com/web/image/product.template/106452/image_1920")</f>
        <v/>
      </c>
      <c r="G17" s="5" t="inlineStr">
        <is>
          <t>https://www.rydermx.com/shop/ad-1-106452</t>
        </is>
      </c>
    </row>
    <row r="18" ht="120" customHeight="1">
      <c r="A18" s="6" t="n">
        <v>17</v>
      </c>
      <c r="B18" s="3" t="inlineStr">
        <is>
          <t>AD-1.5</t>
        </is>
      </c>
      <c r="C18" s="6">
        <f>IMAGE("https://www.rydermx.com/web/image/product.template/106451/image_1920")</f>
        <v/>
      </c>
      <c r="D18" s="6">
        <f>IMAGE("https://www.rydermx.com/web/image/product.template/106451/image_1920")</f>
        <v/>
      </c>
      <c r="E18" s="6">
        <f>IMAGE("https://www.rydermx.com/web/image/product.template/106451/image_1920")</f>
        <v/>
      </c>
      <c r="F18" s="6">
        <f>IMAGE("https://www.rydermx.com/web/image/product.template/106451/image_1920")</f>
        <v/>
      </c>
      <c r="G18" s="5" t="inlineStr">
        <is>
          <t>https://www.rydermx.com/shop/ad-1-5-106451</t>
        </is>
      </c>
    </row>
    <row r="19" ht="120" customHeight="1">
      <c r="A19" s="6" t="n">
        <v>18</v>
      </c>
      <c r="B19" s="3" t="inlineStr">
        <is>
          <t>UD-1</t>
        </is>
      </c>
      <c r="C19" s="6">
        <f>IMAGE("https://www.motocool.net/web/image/product.template/93765/image_1920")</f>
        <v/>
      </c>
      <c r="D19" s="6">
        <f>IMAGE("https://www.motocool.net/web/image/product.template/93765/image_1920")</f>
        <v/>
      </c>
      <c r="E19" s="6">
        <f>IMAGE("https://www.motocool.net/web/image/product.template/93765/image_1920")</f>
        <v/>
      </c>
      <c r="F19" s="6">
        <f>IMAGE("https://www.motocool.net/web/image/product.template/93765/image_1920")</f>
        <v/>
      </c>
      <c r="G19" s="5" t="inlineStr">
        <is>
          <t>https://www.motocool.net/shop/ud-1-93765</t>
        </is>
      </c>
    </row>
    <row r="20" ht="120" customHeight="1">
      <c r="A20" s="6" t="n">
        <v>19</v>
      </c>
      <c r="B20" s="3" t="inlineStr">
        <is>
          <t>SD-3</t>
        </is>
      </c>
      <c r="C20" s="6">
        <f>IMAGE("https://www.rydermx.com/web/image/product.template/111194/image_1920")</f>
        <v/>
      </c>
      <c r="D20" s="6">
        <f>IMAGE("https://www.rydermx.com/web/image/product.template/111194/image_1920")</f>
        <v/>
      </c>
      <c r="E20" s="6">
        <f>IMAGE("https://www.rydermx.com/web/image/product.template/111194/image_1920")</f>
        <v/>
      </c>
      <c r="F20" s="6">
        <f>IMAGE("https://www.rydermx.com/web/image/product.template/111194/image_1920")</f>
        <v/>
      </c>
      <c r="G20" s="5" t="inlineStr">
        <is>
          <t>https://www.rydermx.com/shop/rd-3-300-copia-111194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6" customWidth="1" min="3" max="3"/>
    <col width="12" customWidth="1" min="4" max="4"/>
    <col width="52" customWidth="1" min="5" max="5"/>
  </cols>
  <sheetData>
    <row r="1">
      <c r="A1" s="4" t="inlineStr">
        <is>
          <t>No.</t>
        </is>
      </c>
      <c r="B1" s="4" t="inlineStr">
        <is>
          <t>Modelo</t>
        </is>
      </c>
      <c r="C1" s="4" t="inlineStr">
        <is>
          <t>URL imagen usada</t>
        </is>
      </c>
      <c r="D1" s="4" t="inlineStr">
        <is>
          <t>Validación</t>
        </is>
      </c>
      <c r="E1" s="4" t="inlineStr">
        <is>
          <t>Comentario</t>
        </is>
      </c>
    </row>
    <row r="2">
      <c r="A2" s="3" t="n">
        <v>1</v>
      </c>
      <c r="B2" s="3" t="inlineStr">
        <is>
          <t>Aztekita 200</t>
        </is>
      </c>
      <c r="C2" s="3" t="inlineStr">
        <is>
          <t>https://www.rydermx.com/web/image/product.template/104408/image_1920</t>
        </is>
      </c>
      <c r="D2" s="7" t="inlineStr">
        <is>
          <t>REVISADO</t>
        </is>
      </c>
      <c r="E2" s="3" t="inlineStr">
        <is>
          <t>Corresponde al modelo listado según la página oficial localizada.</t>
        </is>
      </c>
    </row>
    <row r="3">
      <c r="A3" s="3" t="n">
        <v>2</v>
      </c>
      <c r="B3" s="3" t="inlineStr">
        <is>
          <t>Aztekita 250 CC</t>
        </is>
      </c>
      <c r="C3" s="3" t="inlineStr">
        <is>
          <t>https://www.rydermx.com/web/image/product.template/106439/image_1920</t>
        </is>
      </c>
      <c r="D3" s="7" t="inlineStr">
        <is>
          <t>REVISADO</t>
        </is>
      </c>
      <c r="E3" s="3" t="inlineStr">
        <is>
          <t>Corresponde al modelo listado según la página oficial localizada.</t>
        </is>
      </c>
    </row>
    <row r="4">
      <c r="A4" s="3" t="n">
        <v>3</v>
      </c>
      <c r="B4" s="3" t="inlineStr">
        <is>
          <t>Aztekita 300 CC</t>
        </is>
      </c>
      <c r="C4" s="3" t="inlineStr">
        <is>
          <t>https://www.rydermx.com/web/image/product.template/106437/image_1920</t>
        </is>
      </c>
      <c r="D4" s="7" t="inlineStr">
        <is>
          <t>REVISADO</t>
        </is>
      </c>
      <c r="E4" s="3" t="inlineStr">
        <is>
          <t>Corresponde al modelo listado según la página oficial localizada.</t>
        </is>
      </c>
    </row>
    <row r="5">
      <c r="A5" s="3" t="n">
        <v>4</v>
      </c>
      <c r="B5" s="3" t="inlineStr">
        <is>
          <t>Aztekita 300 Volteo</t>
        </is>
      </c>
      <c r="C5" s="3" t="inlineStr">
        <is>
          <t>https://www.rydermx.com/web/image/product.template/106464/image_1920</t>
        </is>
      </c>
      <c r="D5" s="7" t="inlineStr">
        <is>
          <t>REVISADO</t>
        </is>
      </c>
      <c r="E5" s="3" t="inlineStr">
        <is>
          <t>Corresponde al modelo listado según la página oficial localizada.</t>
        </is>
      </c>
    </row>
    <row r="6">
      <c r="A6" s="3" t="n">
        <v>5</v>
      </c>
      <c r="B6" s="3" t="inlineStr">
        <is>
          <t>Aztekita 350 Plus</t>
        </is>
      </c>
      <c r="C6" s="3" t="inlineStr">
        <is>
          <t>https://www.rydermx.com/web/image/product.template/111184/image_1920</t>
        </is>
      </c>
      <c r="D6" s="7" t="inlineStr">
        <is>
          <t>REVISADO</t>
        </is>
      </c>
      <c r="E6" s="3" t="inlineStr">
        <is>
          <t>Corresponde al modelo listado según la página oficial localizada.</t>
        </is>
      </c>
    </row>
    <row r="7">
      <c r="A7" s="3" t="n">
        <v>6</v>
      </c>
      <c r="B7" s="3" t="inlineStr">
        <is>
          <t>Aztekita ATV 300</t>
        </is>
      </c>
      <c r="C7" s="3" t="inlineStr">
        <is>
          <t>https://www.rydermx.com/web/image/product.template/111185/image_1920</t>
        </is>
      </c>
      <c r="D7" s="7" t="inlineStr">
        <is>
          <t>REVISADO</t>
        </is>
      </c>
      <c r="E7" s="3" t="inlineStr">
        <is>
          <t>Corresponde al modelo listado según la página oficial localizada.</t>
        </is>
      </c>
    </row>
    <row r="8">
      <c r="A8" s="3" t="n">
        <v>7</v>
      </c>
      <c r="B8" s="3" t="inlineStr">
        <is>
          <t>RD-1</t>
        </is>
      </c>
      <c r="C8" s="3" t="inlineStr">
        <is>
          <t>https://www.motocool.net/web/image/product.template/93766/image_1920</t>
        </is>
      </c>
      <c r="D8" s="7" t="inlineStr">
        <is>
          <t>REVISADO</t>
        </is>
      </c>
      <c r="E8" s="3" t="inlineStr">
        <is>
          <t>Corresponde al modelo listado según la página oficial localizada.</t>
        </is>
      </c>
    </row>
    <row r="9">
      <c r="A9" s="3" t="n">
        <v>8</v>
      </c>
      <c r="B9" s="3" t="inlineStr">
        <is>
          <t>RD-1.5</t>
        </is>
      </c>
      <c r="C9" s="3" t="inlineStr">
        <is>
          <t>https://www.rydermx.com/web/image/product.template/112095/image_1920</t>
        </is>
      </c>
      <c r="D9" s="7" t="inlineStr">
        <is>
          <t>REVISADO</t>
        </is>
      </c>
      <c r="E9" s="3" t="inlineStr">
        <is>
          <t>Corresponde al modelo listado según la página oficial localizada.</t>
        </is>
      </c>
    </row>
    <row r="10">
      <c r="A10" s="3" t="n">
        <v>9</v>
      </c>
      <c r="B10" s="3" t="inlineStr">
        <is>
          <t>RD-2</t>
        </is>
      </c>
      <c r="C10" s="3" t="inlineStr">
        <is>
          <t>https://www.rydermx.com/web/image/product.template/111192/image_1920</t>
        </is>
      </c>
      <c r="D10" s="7" t="inlineStr">
        <is>
          <t>REVISADO</t>
        </is>
      </c>
      <c r="E10" s="3" t="inlineStr">
        <is>
          <t>Corresponde al modelo listado según la página oficial localizada.</t>
        </is>
      </c>
    </row>
    <row r="11">
      <c r="A11" s="3" t="n">
        <v>10</v>
      </c>
      <c r="B11" s="3" t="inlineStr">
        <is>
          <t>RD-2.5</t>
        </is>
      </c>
      <c r="C11" s="3" t="inlineStr">
        <is>
          <t>https://www.rydermx.com/web/image/product.template/106441/image_1920</t>
        </is>
      </c>
      <c r="D11" s="7" t="inlineStr">
        <is>
          <t>REVISADO</t>
        </is>
      </c>
      <c r="E11" s="3" t="inlineStr">
        <is>
          <t>Corresponde al modelo listado según la página oficial localizada.</t>
        </is>
      </c>
    </row>
    <row r="12">
      <c r="A12" s="3" t="n">
        <v>11</v>
      </c>
      <c r="B12" s="3" t="inlineStr">
        <is>
          <t>RD-3R</t>
        </is>
      </c>
      <c r="C12" s="3" t="inlineStr">
        <is>
          <t>https://www.motocool.net/web/image/product.template/111191/image_1920</t>
        </is>
      </c>
      <c r="D12" s="7" t="inlineStr">
        <is>
          <t>REVISADO</t>
        </is>
      </c>
      <c r="E12" s="3" t="inlineStr">
        <is>
          <t>Corresponde al modelo listado según la página oficial localizada.</t>
        </is>
      </c>
    </row>
    <row r="13">
      <c r="A13" s="3" t="n">
        <v>12</v>
      </c>
      <c r="B13" s="3" t="inlineStr">
        <is>
          <t>MD-1.5</t>
        </is>
      </c>
      <c r="C13" s="3" t="inlineStr">
        <is>
          <t>https://www.rydermx.com/web/image/product.template/106449/image_1920</t>
        </is>
      </c>
      <c r="D13" s="7" t="inlineStr">
        <is>
          <t>REVISADO</t>
        </is>
      </c>
      <c r="E13" s="3" t="inlineStr">
        <is>
          <t>Corresponde al modelo listado según la página oficial localizada.</t>
        </is>
      </c>
    </row>
    <row r="14">
      <c r="A14" s="3" t="n">
        <v>13</v>
      </c>
      <c r="B14" s="3" t="inlineStr">
        <is>
          <t>MD-1.75</t>
        </is>
      </c>
      <c r="C14" s="3" t="inlineStr">
        <is>
          <t>https://www.rydermx.com/web/image/product.template/106448/image_1920</t>
        </is>
      </c>
      <c r="D14" s="7" t="inlineStr">
        <is>
          <t>REVISADO</t>
        </is>
      </c>
      <c r="E14" s="3" t="inlineStr">
        <is>
          <t>Corresponde al modelo listado según la página oficial localizada.</t>
        </is>
      </c>
    </row>
    <row r="15">
      <c r="A15" s="3" t="n">
        <v>14</v>
      </c>
      <c r="B15" s="3" t="inlineStr">
        <is>
          <t>MD-2 180</t>
        </is>
      </c>
      <c r="C15" s="3" t="inlineStr">
        <is>
          <t>https://www.rydermx.com/web/image/product.template/106447/image_1920</t>
        </is>
      </c>
      <c r="D15" s="7" t="inlineStr">
        <is>
          <t>REVISADO</t>
        </is>
      </c>
      <c r="E15" s="3" t="inlineStr">
        <is>
          <t>Corresponde al modelo listado según la página oficial localizada.</t>
        </is>
      </c>
    </row>
    <row r="16">
      <c r="A16" s="3" t="n">
        <v>15</v>
      </c>
      <c r="B16" s="3" t="inlineStr">
        <is>
          <t>MD-ADV 180</t>
        </is>
      </c>
      <c r="C16" s="3" t="inlineStr">
        <is>
          <t>https://www.rydermx.com/web/image/product.template/106446/image_1920</t>
        </is>
      </c>
      <c r="D16" s="7" t="inlineStr">
        <is>
          <t>REVISADO</t>
        </is>
      </c>
      <c r="E16" s="3" t="inlineStr">
        <is>
          <t>Corresponde al modelo listado según la página oficial localizada.</t>
        </is>
      </c>
    </row>
    <row r="17">
      <c r="A17" s="3" t="n">
        <v>16</v>
      </c>
      <c r="B17" s="3" t="inlineStr">
        <is>
          <t>AD-1</t>
        </is>
      </c>
      <c r="C17" s="3" t="inlineStr">
        <is>
          <t>https://www.rydermx.com/web/image/product.template/106452/image_1920</t>
        </is>
      </c>
      <c r="D17" s="7" t="inlineStr">
        <is>
          <t>REVISADO</t>
        </is>
      </c>
      <c r="E17" s="3" t="inlineStr">
        <is>
          <t>Corresponde al modelo listado según la página oficial localizada.</t>
        </is>
      </c>
    </row>
    <row r="18">
      <c r="A18" s="3" t="n">
        <v>17</v>
      </c>
      <c r="B18" s="3" t="inlineStr">
        <is>
          <t>AD-1.5</t>
        </is>
      </c>
      <c r="C18" s="3" t="inlineStr">
        <is>
          <t>https://www.rydermx.com/web/image/product.template/106451/image_1920</t>
        </is>
      </c>
      <c r="D18" s="7" t="inlineStr">
        <is>
          <t>REVISADO</t>
        </is>
      </c>
      <c r="E18" s="3" t="inlineStr">
        <is>
          <t>Corresponde al modelo listado según la página oficial localizada.</t>
        </is>
      </c>
    </row>
    <row r="19">
      <c r="A19" s="3" t="n">
        <v>18</v>
      </c>
      <c r="B19" s="3" t="inlineStr">
        <is>
          <t>UD-1</t>
        </is>
      </c>
      <c r="C19" s="3" t="inlineStr">
        <is>
          <t>https://www.motocool.net/web/image/product.template/93765/image_1920</t>
        </is>
      </c>
      <c r="D19" s="7" t="inlineStr">
        <is>
          <t>REVISADO</t>
        </is>
      </c>
      <c r="E19" s="3" t="inlineStr">
        <is>
          <t>Corresponde al modelo listado según la página oficial localizada.</t>
        </is>
      </c>
    </row>
    <row r="20">
      <c r="A20" s="3" t="n">
        <v>19</v>
      </c>
      <c r="B20" s="3" t="inlineStr">
        <is>
          <t>SD-3</t>
        </is>
      </c>
      <c r="C20" s="3" t="inlineStr">
        <is>
          <t>https://www.rydermx.com/web/image/product.template/111194/image_1920</t>
        </is>
      </c>
      <c r="D20" s="7" t="inlineStr">
        <is>
          <t>REVISADO</t>
        </is>
      </c>
      <c r="E20" s="3" t="inlineStr">
        <is>
          <t>Corresponde al modelo listado según la página oficial localizada.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2026-07-30T00:15:05Z</dcterms:created>
  <dcterms:modified xmlns:dcterms="http://purl.org/dc/terms/" xmlns:xsi="http://www.w3.org/2001/XMLSchema-instance" xsi:type="dcterms:W3CDTF">2026-07-30T00:15:05Z</dcterms:modified>
</cp:coreProperties>
</file>